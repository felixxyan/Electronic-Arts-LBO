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9F543195-440D-49C2-BA86-997660B9A15A}" xr6:coauthVersionLast="47" xr6:coauthVersionMax="47" xr10:uidLastSave="{00000000-0000-0000-0000-000000000000}"/>
  <bookViews>
    <workbookView xWindow="-120" yWindow="-120" windowWidth="29040" windowHeight="15720" xr2:uid="{836F179B-2099-4EE0-B400-209A49AF52F1}"/>
  </bookViews>
  <sheets>
    <sheet name="LBO" sheetId="1" r:id="rId1"/>
    <sheet name="Financials" sheetId="4" r:id="rId2"/>
    <sheet name="Pro Forma" sheetId="5" r:id="rId3"/>
    <sheet name="WACC" sheetId="6" r:id="rId4"/>
    <sheet name="DCF" sheetId="3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3" l="1"/>
  <c r="H11" i="5"/>
  <c r="D172" i="4"/>
  <c r="H106" i="1" l="1"/>
  <c r="I106" i="1" s="1"/>
  <c r="J106" i="1" s="1"/>
  <c r="K106" i="1" s="1"/>
  <c r="L106" i="1" s="1"/>
  <c r="G106" i="1"/>
  <c r="F32" i="6" l="1"/>
  <c r="F33" i="6" s="1"/>
  <c r="F34" i="6" s="1"/>
  <c r="F35" i="6" s="1"/>
  <c r="F36" i="6" s="1"/>
  <c r="F79" i="3"/>
  <c r="E79" i="3"/>
  <c r="D64" i="3"/>
  <c r="G43" i="3"/>
  <c r="H43" i="3"/>
  <c r="I43" i="3"/>
  <c r="F43" i="3"/>
  <c r="E43" i="3"/>
  <c r="F39" i="3"/>
  <c r="G39" i="3"/>
  <c r="H39" i="3"/>
  <c r="I39" i="3"/>
  <c r="E39" i="3"/>
  <c r="F35" i="3"/>
  <c r="G35" i="3"/>
  <c r="H35" i="3"/>
  <c r="I35" i="3"/>
  <c r="E35" i="3"/>
  <c r="F34" i="3"/>
  <c r="G34" i="3"/>
  <c r="H34" i="3"/>
  <c r="I34" i="3"/>
  <c r="E34" i="3"/>
  <c r="F33" i="3"/>
  <c r="G33" i="3"/>
  <c r="H33" i="3"/>
  <c r="I33" i="3"/>
  <c r="E33" i="3"/>
  <c r="F14" i="3"/>
  <c r="G14" i="3"/>
  <c r="H14" i="3"/>
  <c r="I14" i="3"/>
  <c r="E14" i="3"/>
  <c r="I58" i="3"/>
  <c r="I60" i="3" s="1"/>
  <c r="I52" i="3"/>
  <c r="L14" i="6" s="1"/>
  <c r="D8" i="3"/>
  <c r="D7" i="3"/>
  <c r="D43" i="3" s="1"/>
  <c r="D6" i="3"/>
  <c r="D5" i="3"/>
  <c r="I66" i="3"/>
  <c r="I67" i="3" s="1"/>
  <c r="I68" i="3" s="1"/>
  <c r="I63" i="3"/>
  <c r="H40" i="1"/>
  <c r="F12" i="3"/>
  <c r="G12" i="3" s="1"/>
  <c r="H12" i="3" s="1"/>
  <c r="I12" i="3" s="1"/>
  <c r="D16" i="6"/>
  <c r="L13" i="6"/>
  <c r="L9" i="6"/>
  <c r="L10" i="6"/>
  <c r="L11" i="6"/>
  <c r="L8" i="6"/>
  <c r="D21" i="6"/>
  <c r="D13" i="6"/>
  <c r="D22" i="6"/>
  <c r="H30" i="6"/>
  <c r="I30" i="6" s="1"/>
  <c r="J30" i="6" s="1"/>
  <c r="K30" i="6" s="1"/>
  <c r="L30" i="6" s="1"/>
  <c r="F23" i="6"/>
  <c r="F24" i="6" s="1"/>
  <c r="F25" i="6" s="1"/>
  <c r="F26" i="6" s="1"/>
  <c r="F27" i="6" s="1"/>
  <c r="H21" i="6"/>
  <c r="I21" i="6" s="1"/>
  <c r="J21" i="6" s="1"/>
  <c r="K21" i="6" s="1"/>
  <c r="L21" i="6" s="1"/>
  <c r="G123" i="1"/>
  <c r="G124" i="1" s="1"/>
  <c r="G125" i="1" s="1"/>
  <c r="G122" i="1"/>
  <c r="I120" i="1"/>
  <c r="J120" i="1" s="1"/>
  <c r="K120" i="1" s="1"/>
  <c r="L120" i="1" s="1"/>
  <c r="I131" i="1"/>
  <c r="J131" i="1" s="1"/>
  <c r="K131" i="1" s="1"/>
  <c r="L131" i="1" s="1"/>
  <c r="G133" i="1"/>
  <c r="G134" i="1" s="1"/>
  <c r="G135" i="1" s="1"/>
  <c r="G136" i="1" s="1"/>
  <c r="I97" i="1"/>
  <c r="I96" i="1"/>
  <c r="D13" i="1"/>
  <c r="D14" i="1"/>
  <c r="E49" i="5"/>
  <c r="I49" i="5" s="1"/>
  <c r="D77" i="5" s="1"/>
  <c r="E50" i="5"/>
  <c r="E51" i="5"/>
  <c r="E52" i="5"/>
  <c r="E48" i="5"/>
  <c r="I48" i="5" s="1"/>
  <c r="D76" i="5" s="1"/>
  <c r="E39" i="5"/>
  <c r="I39" i="5" s="1"/>
  <c r="D67" i="5" s="1"/>
  <c r="E40" i="5"/>
  <c r="I40" i="5" s="1"/>
  <c r="D68" i="5" s="1"/>
  <c r="E41" i="5"/>
  <c r="D11" i="5" s="1"/>
  <c r="D13" i="5" s="1"/>
  <c r="H41" i="5" s="1"/>
  <c r="E42" i="5"/>
  <c r="E43" i="5"/>
  <c r="D18" i="5" s="1"/>
  <c r="D20" i="5" s="1"/>
  <c r="H43" i="5" s="1"/>
  <c r="E44" i="5"/>
  <c r="I44" i="5" s="1"/>
  <c r="D72" i="5" s="1"/>
  <c r="E72" i="5" s="1"/>
  <c r="F72" i="5" s="1"/>
  <c r="G72" i="5" s="1"/>
  <c r="H72" i="5" s="1"/>
  <c r="I72" i="5" s="1"/>
  <c r="E45" i="5"/>
  <c r="I45" i="5" s="1"/>
  <c r="D73" i="5" s="1"/>
  <c r="E73" i="5" s="1"/>
  <c r="F73" i="5" s="1"/>
  <c r="G73" i="5" s="1"/>
  <c r="H73" i="5" s="1"/>
  <c r="I73" i="5" s="1"/>
  <c r="E38" i="5"/>
  <c r="F64" i="5"/>
  <c r="G64" i="5"/>
  <c r="H64" i="5" s="1"/>
  <c r="I64" i="5" s="1"/>
  <c r="E64" i="5"/>
  <c r="F28" i="5"/>
  <c r="G28" i="5" s="1"/>
  <c r="H28" i="5" s="1"/>
  <c r="I28" i="5" s="1"/>
  <c r="D14" i="5"/>
  <c r="D9" i="3" l="1"/>
  <c r="L12" i="6"/>
  <c r="D23" i="6"/>
  <c r="I43" i="5"/>
  <c r="D71" i="5" s="1"/>
  <c r="I41" i="5"/>
  <c r="D69" i="5" s="1"/>
  <c r="H12" i="5"/>
  <c r="D15" i="5"/>
  <c r="H13" i="5"/>
  <c r="D22" i="5"/>
  <c r="E30" i="5" s="1"/>
  <c r="D81" i="3" l="1"/>
  <c r="E81" i="3"/>
  <c r="F81" i="3"/>
  <c r="F32" i="1"/>
  <c r="L15" i="6"/>
  <c r="E32" i="1"/>
  <c r="D32" i="1"/>
  <c r="F30" i="5"/>
  <c r="J21" i="4"/>
  <c r="H22" i="3" s="1"/>
  <c r="E29" i="5"/>
  <c r="F29" i="5" s="1"/>
  <c r="G29" i="5" s="1"/>
  <c r="H29" i="5" s="1"/>
  <c r="I29" i="5" s="1"/>
  <c r="H21" i="4"/>
  <c r="F22" i="3" s="1"/>
  <c r="K21" i="4"/>
  <c r="I22" i="3" s="1"/>
  <c r="I21" i="4"/>
  <c r="G22" i="3" s="1"/>
  <c r="G21" i="4"/>
  <c r="E22" i="3" s="1"/>
  <c r="D18" i="6" l="1"/>
  <c r="D24" i="6"/>
  <c r="D25" i="6" s="1"/>
  <c r="L16" i="6"/>
  <c r="D14" i="6" s="1"/>
  <c r="D15" i="6" s="1"/>
  <c r="D17" i="6" s="1"/>
  <c r="G30" i="5"/>
  <c r="H86" i="4"/>
  <c r="H36" i="4"/>
  <c r="F30" i="3" s="1"/>
  <c r="J86" i="4"/>
  <c r="J36" i="4"/>
  <c r="H30" i="3" s="1"/>
  <c r="G86" i="4"/>
  <c r="G36" i="4"/>
  <c r="E30" i="3" s="1"/>
  <c r="I86" i="4"/>
  <c r="I36" i="4"/>
  <c r="G30" i="3" s="1"/>
  <c r="K86" i="4"/>
  <c r="K36" i="4"/>
  <c r="I30" i="3" s="1"/>
  <c r="D19" i="6" l="1"/>
  <c r="D27" i="6" s="1"/>
  <c r="F21" i="6" s="1"/>
  <c r="H30" i="5"/>
  <c r="F30" i="6" l="1"/>
  <c r="H5" i="3"/>
  <c r="I30" i="5"/>
  <c r="F46" i="3" l="1"/>
  <c r="H46" i="3"/>
  <c r="E46" i="3"/>
  <c r="G46" i="3"/>
  <c r="I46" i="3"/>
  <c r="D120" i="4"/>
  <c r="E120" i="4"/>
  <c r="F120" i="4"/>
  <c r="E125" i="4"/>
  <c r="F125" i="4"/>
  <c r="F63" i="4"/>
  <c r="F70" i="4"/>
  <c r="F75" i="4"/>
  <c r="E55" i="5" s="1"/>
  <c r="E57" i="5" s="1"/>
  <c r="E53" i="5"/>
  <c r="H16" i="5" s="1"/>
  <c r="E46" i="5"/>
  <c r="H14" i="5" s="1"/>
  <c r="I36" i="5"/>
  <c r="E37" i="4"/>
  <c r="F37" i="4"/>
  <c r="D37" i="4"/>
  <c r="E59" i="5" l="1"/>
  <c r="H205" i="4" l="1"/>
  <c r="I205" i="4"/>
  <c r="J205" i="4"/>
  <c r="K205" i="4"/>
  <c r="G205" i="4"/>
  <c r="E201" i="4"/>
  <c r="F201" i="4"/>
  <c r="D201" i="4"/>
  <c r="G197" i="4"/>
  <c r="F199" i="4"/>
  <c r="E199" i="4"/>
  <c r="D199" i="4"/>
  <c r="L9" i="1"/>
  <c r="H8" i="1"/>
  <c r="D22" i="1"/>
  <c r="F200" i="4" l="1"/>
  <c r="G200" i="4" s="1"/>
  <c r="H200" i="4" s="1"/>
  <c r="E200" i="4"/>
  <c r="G204" i="4"/>
  <c r="G206" i="4" s="1"/>
  <c r="F31" i="1"/>
  <c r="D108" i="1" l="1"/>
  <c r="I200" i="4"/>
  <c r="G108" i="1" l="1"/>
  <c r="J108" i="1"/>
  <c r="K108" i="1"/>
  <c r="F108" i="1"/>
  <c r="H108" i="1"/>
  <c r="L108" i="1"/>
  <c r="I108" i="1"/>
  <c r="J200" i="4"/>
  <c r="K200" i="4" l="1"/>
  <c r="F35" i="1" l="1"/>
  <c r="E29" i="1"/>
  <c r="F29" i="1"/>
  <c r="D29" i="1"/>
  <c r="D28" i="1"/>
  <c r="E28" i="1"/>
  <c r="F28" i="1"/>
  <c r="F26" i="1" s="1"/>
  <c r="I60" i="1" l="1"/>
  <c r="J60" i="1" s="1"/>
  <c r="K60" i="1" s="1"/>
  <c r="L60" i="1" s="1"/>
  <c r="E249" i="4" l="1"/>
  <c r="F249" i="4" s="1"/>
  <c r="G249" i="4" s="1"/>
  <c r="H249" i="4" s="1"/>
  <c r="I249" i="4" s="1"/>
  <c r="J249" i="4" s="1"/>
  <c r="K249" i="4" s="1"/>
  <c r="G27" i="4"/>
  <c r="H27" i="4" s="1"/>
  <c r="I27" i="4" s="1"/>
  <c r="J27" i="4" s="1"/>
  <c r="K27" i="4" s="1"/>
  <c r="E194" i="4"/>
  <c r="F194" i="4" s="1"/>
  <c r="G194" i="4" s="1"/>
  <c r="H194" i="4" s="1"/>
  <c r="I194" i="4" s="1"/>
  <c r="J194" i="4" s="1"/>
  <c r="K194" i="4" s="1"/>
  <c r="E190" i="4"/>
  <c r="F187" i="4" s="1"/>
  <c r="F190" i="4"/>
  <c r="D190" i="4"/>
  <c r="E187" i="4" s="1"/>
  <c r="E164" i="4"/>
  <c r="F161" i="4" s="1"/>
  <c r="F164" i="4"/>
  <c r="D164" i="4"/>
  <c r="E161" i="4" s="1"/>
  <c r="E170" i="4"/>
  <c r="F170" i="4"/>
  <c r="E185" i="4"/>
  <c r="F185" i="4" s="1"/>
  <c r="G185" i="4" s="1"/>
  <c r="H185" i="4" s="1"/>
  <c r="I185" i="4" s="1"/>
  <c r="J185" i="4" s="1"/>
  <c r="K185" i="4" s="1"/>
  <c r="E159" i="4"/>
  <c r="F159" i="4" s="1"/>
  <c r="G159" i="4" s="1"/>
  <c r="H159" i="4" s="1"/>
  <c r="I159" i="4" s="1"/>
  <c r="J159" i="4" s="1"/>
  <c r="K159" i="4" s="1"/>
  <c r="F155" i="4"/>
  <c r="G155" i="4" s="1"/>
  <c r="H155" i="4" s="1"/>
  <c r="I155" i="4" s="1"/>
  <c r="J155" i="4" s="1"/>
  <c r="K155" i="4" s="1"/>
  <c r="E155" i="4"/>
  <c r="E150" i="4"/>
  <c r="F148" i="4" s="1"/>
  <c r="F150" i="4"/>
  <c r="D150" i="4"/>
  <c r="E148" i="4" s="1"/>
  <c r="F145" i="4"/>
  <c r="G145" i="4" s="1"/>
  <c r="H145" i="4" s="1"/>
  <c r="I145" i="4" s="1"/>
  <c r="J145" i="4" s="1"/>
  <c r="K145" i="4" s="1"/>
  <c r="F144" i="4"/>
  <c r="E144" i="4"/>
  <c r="E145" i="4"/>
  <c r="E140" i="4"/>
  <c r="F138" i="4" s="1"/>
  <c r="F140" i="4"/>
  <c r="G138" i="4" s="1"/>
  <c r="D140" i="4"/>
  <c r="E138" i="4" s="1"/>
  <c r="F135" i="4"/>
  <c r="G135" i="4" s="1"/>
  <c r="H135" i="4" s="1"/>
  <c r="I135" i="4" s="1"/>
  <c r="J135" i="4" s="1"/>
  <c r="K135" i="4" s="1"/>
  <c r="E135" i="4"/>
  <c r="E130" i="4"/>
  <c r="F130" i="4"/>
  <c r="D130" i="4"/>
  <c r="E128" i="4" s="1"/>
  <c r="G125" i="4"/>
  <c r="H125" i="4" s="1"/>
  <c r="I125" i="4" s="1"/>
  <c r="J125" i="4" s="1"/>
  <c r="K125" i="4" s="1"/>
  <c r="E118" i="4"/>
  <c r="E115" i="4"/>
  <c r="F115" i="4" s="1"/>
  <c r="G115" i="4" s="1"/>
  <c r="H115" i="4" s="1"/>
  <c r="I115" i="4" s="1"/>
  <c r="J115" i="4" s="1"/>
  <c r="K115" i="4" s="1"/>
  <c r="E82" i="4"/>
  <c r="F82" i="4" s="1"/>
  <c r="G82" i="4" s="1"/>
  <c r="H82" i="4" s="1"/>
  <c r="I82" i="4" s="1"/>
  <c r="J82" i="4" s="1"/>
  <c r="K82" i="4" s="1"/>
  <c r="D75" i="4"/>
  <c r="D70" i="4"/>
  <c r="D63" i="4"/>
  <c r="E53" i="4"/>
  <c r="F53" i="4" s="1"/>
  <c r="G22" i="4"/>
  <c r="E23" i="3" s="1"/>
  <c r="G41" i="4"/>
  <c r="H41" i="4"/>
  <c r="H154" i="4" s="1"/>
  <c r="I41" i="4"/>
  <c r="I154" i="4" s="1"/>
  <c r="J41" i="4"/>
  <c r="J154" i="4" s="1"/>
  <c r="K41" i="4"/>
  <c r="K134" i="4" s="1"/>
  <c r="E75" i="4"/>
  <c r="E70" i="4"/>
  <c r="E63" i="4"/>
  <c r="E46" i="4"/>
  <c r="F46" i="4"/>
  <c r="D46" i="4"/>
  <c r="E45" i="4"/>
  <c r="F45" i="4"/>
  <c r="D45" i="4"/>
  <c r="E44" i="4"/>
  <c r="F44" i="4"/>
  <c r="D44" i="4"/>
  <c r="F41" i="4"/>
  <c r="F124" i="4" s="1"/>
  <c r="E41" i="4"/>
  <c r="E154" i="4" s="1"/>
  <c r="D15" i="4"/>
  <c r="D23" i="4" s="1"/>
  <c r="E15" i="4"/>
  <c r="E23" i="4" s="1"/>
  <c r="F15" i="4"/>
  <c r="F23" i="4" s="1"/>
  <c r="E11" i="4"/>
  <c r="F11" i="4" s="1"/>
  <c r="G11" i="4" s="1"/>
  <c r="H11" i="4" s="1"/>
  <c r="I11" i="4" s="1"/>
  <c r="J11" i="4" s="1"/>
  <c r="K11" i="4" s="1"/>
  <c r="F163" i="4" l="1"/>
  <c r="D28" i="4"/>
  <c r="D31" i="4" s="1"/>
  <c r="D33" i="4"/>
  <c r="D38" i="4" s="1"/>
  <c r="F28" i="4"/>
  <c r="F31" i="4" s="1"/>
  <c r="F33" i="4"/>
  <c r="F38" i="4" s="1"/>
  <c r="D12" i="1" s="1"/>
  <c r="E28" i="4"/>
  <c r="E31" i="4" s="1"/>
  <c r="E33" i="4"/>
  <c r="E38" i="4" s="1"/>
  <c r="H22" i="4"/>
  <c r="F23" i="3" s="1"/>
  <c r="G37" i="4"/>
  <c r="G154" i="4"/>
  <c r="G150" i="4" s="1"/>
  <c r="E77" i="5" s="1"/>
  <c r="G35" i="4"/>
  <c r="G118" i="4"/>
  <c r="E188" i="4"/>
  <c r="F188" i="4"/>
  <c r="G162" i="4"/>
  <c r="G98" i="4" s="1"/>
  <c r="G189" i="4"/>
  <c r="G20" i="4" s="1"/>
  <c r="E21" i="3" s="1"/>
  <c r="G46" i="4"/>
  <c r="G19" i="4" s="1"/>
  <c r="E20" i="3" s="1"/>
  <c r="E119" i="4"/>
  <c r="G187" i="4"/>
  <c r="F77" i="4"/>
  <c r="G190" i="4"/>
  <c r="E71" i="5" s="1"/>
  <c r="G161" i="4"/>
  <c r="E163" i="4"/>
  <c r="F139" i="4"/>
  <c r="H175" i="4"/>
  <c r="K175" i="4"/>
  <c r="J175" i="4"/>
  <c r="I175" i="4"/>
  <c r="G175" i="4"/>
  <c r="J124" i="4"/>
  <c r="J134" i="4"/>
  <c r="I124" i="4"/>
  <c r="I134" i="4"/>
  <c r="H124" i="4"/>
  <c r="H134" i="4"/>
  <c r="G124" i="4"/>
  <c r="G120" i="4" s="1"/>
  <c r="E67" i="5" s="1"/>
  <c r="G134" i="4"/>
  <c r="G130" i="4" s="1"/>
  <c r="E68" i="5" s="1"/>
  <c r="G44" i="4"/>
  <c r="H44" i="4" s="1"/>
  <c r="F149" i="4"/>
  <c r="E77" i="4"/>
  <c r="F134" i="4"/>
  <c r="K154" i="4"/>
  <c r="G45" i="4"/>
  <c r="G18" i="4" s="1"/>
  <c r="E19" i="3" s="1"/>
  <c r="E124" i="4"/>
  <c r="F154" i="4"/>
  <c r="E139" i="4"/>
  <c r="E129" i="4"/>
  <c r="F118" i="4"/>
  <c r="F119" i="4" s="1"/>
  <c r="D77" i="4"/>
  <c r="G128" i="4"/>
  <c r="F128" i="4"/>
  <c r="F129" i="4" s="1"/>
  <c r="D42" i="4"/>
  <c r="E149" i="4"/>
  <c r="F42" i="4"/>
  <c r="G148" i="4"/>
  <c r="E42" i="4"/>
  <c r="E134" i="4"/>
  <c r="K124" i="4"/>
  <c r="F48" i="4"/>
  <c r="E48" i="4"/>
  <c r="H12" i="1" l="1"/>
  <c r="G96" i="1" s="1"/>
  <c r="H9" i="1"/>
  <c r="H14" i="1"/>
  <c r="G98" i="1" s="1"/>
  <c r="H13" i="1"/>
  <c r="G97" i="1" s="1"/>
  <c r="H10" i="1"/>
  <c r="H11" i="1"/>
  <c r="G8" i="1"/>
  <c r="E24" i="1"/>
  <c r="E26" i="1" s="1"/>
  <c r="E31" i="1" s="1"/>
  <c r="E34" i="1" s="1"/>
  <c r="E35" i="1" s="1"/>
  <c r="F24" i="1"/>
  <c r="F25" i="1" s="1"/>
  <c r="D25" i="1" s="1"/>
  <c r="D24" i="1"/>
  <c r="D48" i="4"/>
  <c r="G48" i="4" s="1"/>
  <c r="I22" i="4"/>
  <c r="G23" i="3" s="1"/>
  <c r="H37" i="4"/>
  <c r="H128" i="4"/>
  <c r="H120" i="4"/>
  <c r="F67" i="5" s="1"/>
  <c r="H162" i="4"/>
  <c r="J177" i="4" s="1"/>
  <c r="H150" i="4"/>
  <c r="F77" i="5" s="1"/>
  <c r="G92" i="4"/>
  <c r="E36" i="3" s="1"/>
  <c r="G89" i="4"/>
  <c r="G88" i="4"/>
  <c r="G87" i="4"/>
  <c r="H35" i="4"/>
  <c r="H46" i="4"/>
  <c r="H19" i="4" s="1"/>
  <c r="F20" i="3" s="1"/>
  <c r="G176" i="4"/>
  <c r="G181" i="4" s="1"/>
  <c r="G34" i="4" s="1"/>
  <c r="H189" i="4"/>
  <c r="H20" i="4" s="1"/>
  <c r="F21" i="3" s="1"/>
  <c r="I176" i="4"/>
  <c r="K176" i="4"/>
  <c r="H176" i="4"/>
  <c r="J176" i="4"/>
  <c r="H118" i="4"/>
  <c r="G129" i="4"/>
  <c r="G188" i="4"/>
  <c r="G99" i="4" s="1"/>
  <c r="H190" i="4"/>
  <c r="F71" i="5" s="1"/>
  <c r="G119" i="4"/>
  <c r="H130" i="4"/>
  <c r="F68" i="5" s="1"/>
  <c r="G17" i="4"/>
  <c r="E18" i="3" s="1"/>
  <c r="H45" i="4"/>
  <c r="I45" i="4" s="1"/>
  <c r="G149" i="4"/>
  <c r="H148" i="4"/>
  <c r="G42" i="4"/>
  <c r="I44" i="4"/>
  <c r="H17" i="4"/>
  <c r="F18" i="3" s="1"/>
  <c r="D113" i="1" l="1"/>
  <c r="D26" i="1"/>
  <c r="G63" i="1"/>
  <c r="G95" i="1"/>
  <c r="G62" i="1"/>
  <c r="G94" i="1"/>
  <c r="G61" i="1"/>
  <c r="G93" i="1"/>
  <c r="E54" i="1"/>
  <c r="G78" i="1"/>
  <c r="G79" i="1"/>
  <c r="G77" i="1"/>
  <c r="G81" i="1"/>
  <c r="G80" i="1"/>
  <c r="E55" i="1"/>
  <c r="G74" i="1"/>
  <c r="G71" i="1"/>
  <c r="G72" i="1"/>
  <c r="G73" i="1"/>
  <c r="G75" i="1"/>
  <c r="E56" i="1"/>
  <c r="G65" i="1"/>
  <c r="G67" i="1"/>
  <c r="G69" i="1"/>
  <c r="G68" i="1"/>
  <c r="G66" i="1"/>
  <c r="G223" i="4"/>
  <c r="J24" i="1"/>
  <c r="L24" i="1" s="1"/>
  <c r="G236" i="4"/>
  <c r="G237" i="4" s="1"/>
  <c r="G238" i="4" s="1"/>
  <c r="G56" i="5"/>
  <c r="I56" i="5" s="1"/>
  <c r="D84" i="5" s="1"/>
  <c r="J22" i="1"/>
  <c r="G50" i="5"/>
  <c r="G210" i="4"/>
  <c r="G215" i="4"/>
  <c r="G216" i="4" s="1"/>
  <c r="J23" i="1"/>
  <c r="L23" i="1" s="1"/>
  <c r="G229" i="4"/>
  <c r="J25" i="1"/>
  <c r="L25" i="1" s="1"/>
  <c r="D16" i="5"/>
  <c r="D23" i="5"/>
  <c r="D31" i="5"/>
  <c r="I120" i="4"/>
  <c r="G67" i="5" s="1"/>
  <c r="J22" i="4"/>
  <c r="H23" i="3" s="1"/>
  <c r="I37" i="4"/>
  <c r="H149" i="4"/>
  <c r="K177" i="4"/>
  <c r="H98" i="4"/>
  <c r="H88" i="4"/>
  <c r="H119" i="4"/>
  <c r="I189" i="4"/>
  <c r="J189" i="4" s="1"/>
  <c r="G163" i="4"/>
  <c r="G164" i="4" s="1"/>
  <c r="E69" i="5" s="1"/>
  <c r="G85" i="4"/>
  <c r="E29" i="3" s="1"/>
  <c r="G100" i="4"/>
  <c r="I162" i="4"/>
  <c r="I98" i="4" s="1"/>
  <c r="H92" i="4"/>
  <c r="F36" i="3" s="1"/>
  <c r="I148" i="4"/>
  <c r="I150" i="4" s="1"/>
  <c r="G77" i="5" s="1"/>
  <c r="I130" i="4"/>
  <c r="G68" i="5" s="1"/>
  <c r="H177" i="4"/>
  <c r="H181" i="4" s="1"/>
  <c r="H34" i="4" s="1"/>
  <c r="I118" i="4"/>
  <c r="I177" i="4"/>
  <c r="H89" i="4"/>
  <c r="H87" i="4"/>
  <c r="I35" i="4"/>
  <c r="I46" i="4"/>
  <c r="I19" i="4" s="1"/>
  <c r="G20" i="3" s="1"/>
  <c r="H18" i="4"/>
  <c r="F19" i="3" s="1"/>
  <c r="H129" i="4"/>
  <c r="I128" i="4"/>
  <c r="H48" i="4"/>
  <c r="I190" i="4"/>
  <c r="G71" i="5" s="1"/>
  <c r="J44" i="4"/>
  <c r="I17" i="4"/>
  <c r="G18" i="3" s="1"/>
  <c r="G15" i="4"/>
  <c r="H42" i="4"/>
  <c r="J45" i="4"/>
  <c r="I18" i="4"/>
  <c r="G19" i="3" s="1"/>
  <c r="D31" i="1" l="1"/>
  <c r="D80" i="3" s="1"/>
  <c r="D82" i="3" s="1"/>
  <c r="D112" i="1"/>
  <c r="C77" i="1"/>
  <c r="C83" i="1"/>
  <c r="C71" i="1"/>
  <c r="C65" i="1"/>
  <c r="I40" i="1"/>
  <c r="G224" i="4"/>
  <c r="G225" i="4" s="1"/>
  <c r="H223" i="4" s="1"/>
  <c r="H224" i="4" s="1"/>
  <c r="H225" i="4" s="1"/>
  <c r="I223" i="4" s="1"/>
  <c r="I224" i="4" s="1"/>
  <c r="I225" i="4" s="1"/>
  <c r="J223" i="4" s="1"/>
  <c r="J224" i="4" s="1"/>
  <c r="J225" i="4" s="1"/>
  <c r="K223" i="4" s="1"/>
  <c r="G231" i="4"/>
  <c r="G257" i="4" s="1"/>
  <c r="G94" i="4" s="1"/>
  <c r="G230" i="4"/>
  <c r="G256" i="4" s="1"/>
  <c r="L22" i="1"/>
  <c r="L26" i="1" s="1"/>
  <c r="J26" i="1"/>
  <c r="E84" i="5"/>
  <c r="G239" i="4"/>
  <c r="H236" i="4"/>
  <c r="H237" i="4" s="1"/>
  <c r="H238" i="4" s="1"/>
  <c r="I88" i="4"/>
  <c r="I119" i="4"/>
  <c r="J118" i="4"/>
  <c r="J120" i="4"/>
  <c r="H67" i="5" s="1"/>
  <c r="H17" i="5"/>
  <c r="H51" i="5" s="1"/>
  <c r="H161" i="4"/>
  <c r="I149" i="4"/>
  <c r="K22" i="4"/>
  <c r="J37" i="4"/>
  <c r="I20" i="4"/>
  <c r="G21" i="3" s="1"/>
  <c r="H163" i="4"/>
  <c r="H85" i="4"/>
  <c r="F29" i="3" s="1"/>
  <c r="J130" i="4"/>
  <c r="H68" i="5" s="1"/>
  <c r="I92" i="4"/>
  <c r="G36" i="3" s="1"/>
  <c r="J148" i="4"/>
  <c r="J150" i="4" s="1"/>
  <c r="H77" i="5" s="1"/>
  <c r="I87" i="4"/>
  <c r="J35" i="4"/>
  <c r="K178" i="4"/>
  <c r="J178" i="4"/>
  <c r="J162" i="4"/>
  <c r="J98" i="4" s="1"/>
  <c r="I178" i="4"/>
  <c r="I181" i="4" s="1"/>
  <c r="I34" i="4" s="1"/>
  <c r="I89" i="4"/>
  <c r="I129" i="4"/>
  <c r="J128" i="4"/>
  <c r="J46" i="4"/>
  <c r="J19" i="4" s="1"/>
  <c r="H20" i="3" s="1"/>
  <c r="G14" i="4"/>
  <c r="G23" i="4"/>
  <c r="J190" i="4"/>
  <c r="H71" i="5" s="1"/>
  <c r="K189" i="4"/>
  <c r="K20" i="4" s="1"/>
  <c r="I21" i="3" s="1"/>
  <c r="J20" i="4"/>
  <c r="H21" i="3" s="1"/>
  <c r="I48" i="4"/>
  <c r="K45" i="4"/>
  <c r="K18" i="4" s="1"/>
  <c r="I19" i="3" s="1"/>
  <c r="J18" i="4"/>
  <c r="H19" i="3" s="1"/>
  <c r="I42" i="4"/>
  <c r="H15" i="4"/>
  <c r="K44" i="4"/>
  <c r="K17" i="4" s="1"/>
  <c r="I18" i="3" s="1"/>
  <c r="J17" i="4"/>
  <c r="H18" i="3" s="1"/>
  <c r="G144" i="4" l="1"/>
  <c r="G140" i="4" s="1"/>
  <c r="E76" i="5" s="1"/>
  <c r="E15" i="3"/>
  <c r="E16" i="3" s="1"/>
  <c r="E24" i="3" s="1"/>
  <c r="K37" i="4"/>
  <c r="I23" i="3"/>
  <c r="C72" i="1"/>
  <c r="C66" i="1"/>
  <c r="C84" i="1"/>
  <c r="J40" i="1"/>
  <c r="C78" i="1"/>
  <c r="D107" i="1"/>
  <c r="L8" i="1"/>
  <c r="D34" i="1"/>
  <c r="J29" i="1"/>
  <c r="L10" i="1" s="1"/>
  <c r="H21" i="5"/>
  <c r="G232" i="4"/>
  <c r="H229" i="4" s="1"/>
  <c r="H230" i="4" s="1"/>
  <c r="G103" i="4"/>
  <c r="H71" i="1"/>
  <c r="H72" i="1"/>
  <c r="H73" i="1"/>
  <c r="H74" i="1"/>
  <c r="H75" i="1"/>
  <c r="H67" i="1"/>
  <c r="H65" i="1"/>
  <c r="H66" i="1"/>
  <c r="H69" i="1"/>
  <c r="H68" i="1"/>
  <c r="G102" i="4"/>
  <c r="G255" i="4"/>
  <c r="H63" i="1" s="1"/>
  <c r="G242" i="4"/>
  <c r="F50" i="5"/>
  <c r="K224" i="4"/>
  <c r="K225" i="4" s="1"/>
  <c r="I255" i="4"/>
  <c r="J63" i="1" s="1"/>
  <c r="F84" i="5"/>
  <c r="H239" i="4"/>
  <c r="I236" i="4"/>
  <c r="I237" i="4" s="1"/>
  <c r="I238" i="4" s="1"/>
  <c r="H255" i="4"/>
  <c r="I63" i="1" s="1"/>
  <c r="J255" i="4"/>
  <c r="K63" i="1" s="1"/>
  <c r="H164" i="4"/>
  <c r="F69" i="5" s="1"/>
  <c r="J243" i="4"/>
  <c r="J95" i="4" s="1"/>
  <c r="G243" i="4"/>
  <c r="G95" i="4" s="1"/>
  <c r="H243" i="4"/>
  <c r="H95" i="4" s="1"/>
  <c r="K243" i="4"/>
  <c r="K95" i="4" s="1"/>
  <c r="I243" i="4"/>
  <c r="I95" i="4" s="1"/>
  <c r="K120" i="4"/>
  <c r="I67" i="5" s="1"/>
  <c r="K118" i="4"/>
  <c r="J119" i="4"/>
  <c r="J88" i="4"/>
  <c r="E31" i="5"/>
  <c r="E79" i="5" s="1"/>
  <c r="H18" i="5"/>
  <c r="H20" i="5" s="1"/>
  <c r="G33" i="4"/>
  <c r="G38" i="4" s="1"/>
  <c r="J129" i="4"/>
  <c r="K35" i="4"/>
  <c r="J87" i="4"/>
  <c r="K130" i="4"/>
  <c r="I68" i="5" s="1"/>
  <c r="K128" i="4"/>
  <c r="I163" i="4"/>
  <c r="I85" i="4"/>
  <c r="G29" i="3" s="1"/>
  <c r="H138" i="4"/>
  <c r="G90" i="4"/>
  <c r="J92" i="4"/>
  <c r="H36" i="3" s="1"/>
  <c r="K148" i="4"/>
  <c r="K150" i="4" s="1"/>
  <c r="I77" i="5" s="1"/>
  <c r="J149" i="4"/>
  <c r="K162" i="4"/>
  <c r="K98" i="4" s="1"/>
  <c r="J179" i="4"/>
  <c r="J181" i="4" s="1"/>
  <c r="J34" i="4" s="1"/>
  <c r="K179" i="4"/>
  <c r="J89" i="4"/>
  <c r="K46" i="4"/>
  <c r="K19" i="4" s="1"/>
  <c r="I20" i="3" s="1"/>
  <c r="G139" i="4"/>
  <c r="J48" i="4"/>
  <c r="K190" i="4"/>
  <c r="I71" i="5" s="1"/>
  <c r="H14" i="4"/>
  <c r="H23" i="4"/>
  <c r="J42" i="4"/>
  <c r="I15" i="4"/>
  <c r="H144" i="4" l="1"/>
  <c r="H140" i="4" s="1"/>
  <c r="F76" i="5" s="1"/>
  <c r="F15" i="3"/>
  <c r="F16" i="3" s="1"/>
  <c r="F24" i="3" s="1"/>
  <c r="E25" i="3"/>
  <c r="E26" i="3" s="1"/>
  <c r="E40" i="3" s="1"/>
  <c r="E45" i="3" s="1"/>
  <c r="E47" i="3" s="1"/>
  <c r="L11" i="1"/>
  <c r="H15" i="1" s="1"/>
  <c r="G99" i="1" s="1"/>
  <c r="G100" i="1" s="1"/>
  <c r="H22" i="5"/>
  <c r="H42" i="5" s="1"/>
  <c r="H55" i="5" s="1"/>
  <c r="C85" i="1"/>
  <c r="C73" i="1"/>
  <c r="C79" i="1"/>
  <c r="K40" i="1"/>
  <c r="C67" i="1"/>
  <c r="D35" i="1"/>
  <c r="D110" i="1" s="1"/>
  <c r="D109" i="1"/>
  <c r="F55" i="5"/>
  <c r="F38" i="5" s="1"/>
  <c r="H231" i="4"/>
  <c r="H257" i="4" s="1"/>
  <c r="H94" i="4" s="1"/>
  <c r="H256" i="4"/>
  <c r="I68" i="1" s="1"/>
  <c r="H103" i="4"/>
  <c r="I72" i="1"/>
  <c r="I75" i="1"/>
  <c r="I73" i="1"/>
  <c r="I71" i="1"/>
  <c r="I74" i="1"/>
  <c r="K255" i="4"/>
  <c r="J47" i="1"/>
  <c r="K47" i="1"/>
  <c r="L47" i="1"/>
  <c r="I47" i="1"/>
  <c r="H47" i="1"/>
  <c r="I161" i="4"/>
  <c r="I164" i="4" s="1"/>
  <c r="I50" i="5"/>
  <c r="D78" i="5" s="1"/>
  <c r="G84" i="5"/>
  <c r="J236" i="4"/>
  <c r="J237" i="4" s="1"/>
  <c r="J238" i="4" s="1"/>
  <c r="I239" i="4"/>
  <c r="G244" i="4"/>
  <c r="H242" i="4" s="1"/>
  <c r="H244" i="4" s="1"/>
  <c r="I242" i="4" s="1"/>
  <c r="I244" i="4" s="1"/>
  <c r="J242" i="4" s="1"/>
  <c r="J244" i="4" s="1"/>
  <c r="K242" i="4" s="1"/>
  <c r="K244" i="4" s="1"/>
  <c r="F31" i="5"/>
  <c r="F79" i="5" s="1"/>
  <c r="G93" i="4"/>
  <c r="K119" i="4"/>
  <c r="K88" i="4"/>
  <c r="I52" i="5"/>
  <c r="D80" i="5" s="1"/>
  <c r="E80" i="5" s="1"/>
  <c r="F80" i="5" s="1"/>
  <c r="G80" i="5" s="1"/>
  <c r="H80" i="5" s="1"/>
  <c r="I80" i="5" s="1"/>
  <c r="I51" i="5"/>
  <c r="K92" i="4"/>
  <c r="I36" i="3" s="1"/>
  <c r="K129" i="4"/>
  <c r="K89" i="4"/>
  <c r="H33" i="4"/>
  <c r="H38" i="4" s="1"/>
  <c r="K87" i="4"/>
  <c r="K149" i="4"/>
  <c r="I138" i="4"/>
  <c r="H90" i="4"/>
  <c r="K180" i="4"/>
  <c r="K181" i="4" s="1"/>
  <c r="K34" i="4" s="1"/>
  <c r="J163" i="4"/>
  <c r="J85" i="4"/>
  <c r="H29" i="3" s="1"/>
  <c r="H139" i="4"/>
  <c r="I14" i="4"/>
  <c r="I23" i="4"/>
  <c r="K48" i="4"/>
  <c r="K42" i="4"/>
  <c r="K15" i="4" s="1"/>
  <c r="J15" i="4"/>
  <c r="I144" i="4" l="1"/>
  <c r="I140" i="4" s="1"/>
  <c r="G76" i="5" s="1"/>
  <c r="G15" i="3"/>
  <c r="G16" i="3" s="1"/>
  <c r="G24" i="3" s="1"/>
  <c r="F25" i="3"/>
  <c r="F26" i="3" s="1"/>
  <c r="F40" i="3" s="1"/>
  <c r="F45" i="3" s="1"/>
  <c r="F47" i="3" s="1"/>
  <c r="G69" i="5"/>
  <c r="J161" i="4"/>
  <c r="G86" i="1"/>
  <c r="H16" i="1"/>
  <c r="G15" i="1"/>
  <c r="G85" i="1"/>
  <c r="E53" i="1"/>
  <c r="F53" i="1" s="1"/>
  <c r="I42" i="5"/>
  <c r="D70" i="5" s="1"/>
  <c r="G84" i="1"/>
  <c r="G55" i="5"/>
  <c r="G38" i="5" s="1"/>
  <c r="I38" i="5" s="1"/>
  <c r="D66" i="5" s="1"/>
  <c r="G87" i="1"/>
  <c r="G83" i="1"/>
  <c r="L40" i="1"/>
  <c r="C68" i="1"/>
  <c r="C86" i="1"/>
  <c r="C80" i="1"/>
  <c r="C74" i="1"/>
  <c r="I65" i="1"/>
  <c r="I66" i="1"/>
  <c r="H97" i="1"/>
  <c r="H98" i="1"/>
  <c r="H96" i="1"/>
  <c r="H95" i="1"/>
  <c r="H93" i="1"/>
  <c r="H94" i="1"/>
  <c r="I69" i="1"/>
  <c r="H99" i="1"/>
  <c r="I67" i="1"/>
  <c r="H232" i="4"/>
  <c r="I229" i="4" s="1"/>
  <c r="L63" i="1"/>
  <c r="I103" i="4"/>
  <c r="J71" i="1"/>
  <c r="J75" i="1"/>
  <c r="J72" i="1"/>
  <c r="J74" i="1"/>
  <c r="J73" i="1"/>
  <c r="H84" i="5"/>
  <c r="J239" i="4"/>
  <c r="K236" i="4"/>
  <c r="K237" i="4" s="1"/>
  <c r="K238" i="4" s="1"/>
  <c r="G31" i="5"/>
  <c r="G79" i="5" s="1"/>
  <c r="H93" i="4"/>
  <c r="J164" i="4"/>
  <c r="H69" i="5" s="1"/>
  <c r="D79" i="5"/>
  <c r="I53" i="5"/>
  <c r="I33" i="4"/>
  <c r="I38" i="4" s="1"/>
  <c r="J138" i="4"/>
  <c r="I90" i="4"/>
  <c r="K163" i="4"/>
  <c r="K85" i="4"/>
  <c r="I29" i="3" s="1"/>
  <c r="I139" i="4"/>
  <c r="J14" i="4"/>
  <c r="J23" i="4"/>
  <c r="K14" i="4"/>
  <c r="I15" i="3" s="1"/>
  <c r="I16" i="3" s="1"/>
  <c r="I24" i="3" s="1"/>
  <c r="K23" i="4"/>
  <c r="J144" i="4" l="1"/>
  <c r="J140" i="4" s="1"/>
  <c r="H76" i="5" s="1"/>
  <c r="H15" i="3"/>
  <c r="H16" i="3" s="1"/>
  <c r="H24" i="3" s="1"/>
  <c r="I25" i="3"/>
  <c r="I26" i="3" s="1"/>
  <c r="I40" i="3" s="1"/>
  <c r="G25" i="3"/>
  <c r="G26" i="3" s="1"/>
  <c r="G40" i="3" s="1"/>
  <c r="G45" i="3" s="1"/>
  <c r="G47" i="3" s="1"/>
  <c r="F56" i="1"/>
  <c r="F55" i="1"/>
  <c r="F54" i="1"/>
  <c r="G54" i="1" s="1"/>
  <c r="I98" i="1" s="1"/>
  <c r="I55" i="5"/>
  <c r="I57" i="5" s="1"/>
  <c r="C75" i="1"/>
  <c r="C87" i="1"/>
  <c r="C81" i="1"/>
  <c r="C69" i="1"/>
  <c r="I231" i="4"/>
  <c r="I257" i="4" s="1"/>
  <c r="I94" i="4" s="1"/>
  <c r="I230" i="4"/>
  <c r="I256" i="4" s="1"/>
  <c r="J65" i="1" s="1"/>
  <c r="H100" i="1"/>
  <c r="E63" i="1"/>
  <c r="J95" i="1" s="1"/>
  <c r="F63" i="1"/>
  <c r="K95" i="1" s="1"/>
  <c r="I46" i="5"/>
  <c r="J103" i="4"/>
  <c r="K71" i="1"/>
  <c r="K72" i="1"/>
  <c r="K73" i="1"/>
  <c r="K74" i="1"/>
  <c r="K75" i="1"/>
  <c r="J49" i="1"/>
  <c r="K49" i="1"/>
  <c r="L49" i="1"/>
  <c r="H49" i="1"/>
  <c r="I49" i="1"/>
  <c r="K239" i="4"/>
  <c r="K103" i="4" s="1"/>
  <c r="I84" i="5"/>
  <c r="H31" i="5"/>
  <c r="H79" i="5" s="1"/>
  <c r="I93" i="4"/>
  <c r="K161" i="4"/>
  <c r="K164" i="4" s="1"/>
  <c r="I69" i="5" s="1"/>
  <c r="E70" i="5"/>
  <c r="F70" i="5" s="1"/>
  <c r="G70" i="5" s="1"/>
  <c r="H70" i="5" s="1"/>
  <c r="I70" i="5" s="1"/>
  <c r="D74" i="5"/>
  <c r="D81" i="5"/>
  <c r="J33" i="4"/>
  <c r="J38" i="4" s="1"/>
  <c r="K33" i="4"/>
  <c r="K38" i="4" s="1"/>
  <c r="D63" i="3" s="1"/>
  <c r="D65" i="3" s="1"/>
  <c r="D66" i="3" s="1"/>
  <c r="K138" i="4"/>
  <c r="J90" i="4"/>
  <c r="K144" i="4"/>
  <c r="K140" i="4" s="1"/>
  <c r="I76" i="5" s="1"/>
  <c r="J139" i="4"/>
  <c r="I45" i="3" l="1"/>
  <c r="D52" i="3"/>
  <c r="D53" i="3" s="1"/>
  <c r="H25" i="3"/>
  <c r="H26" i="3" s="1"/>
  <c r="H40" i="3" s="1"/>
  <c r="H45" i="3" s="1"/>
  <c r="H47" i="3" s="1"/>
  <c r="G53" i="1"/>
  <c r="I99" i="1" s="1"/>
  <c r="I100" i="1" s="1"/>
  <c r="D83" i="5"/>
  <c r="D85" i="5" s="1"/>
  <c r="D87" i="5" s="1"/>
  <c r="I59" i="5"/>
  <c r="J68" i="1"/>
  <c r="J69" i="1"/>
  <c r="J67" i="1"/>
  <c r="J66" i="1"/>
  <c r="I232" i="4"/>
  <c r="J229" i="4" s="1"/>
  <c r="J41" i="1"/>
  <c r="J42" i="1" s="1"/>
  <c r="L41" i="1"/>
  <c r="L42" i="1" s="1"/>
  <c r="H41" i="1"/>
  <c r="H42" i="1" s="1"/>
  <c r="I41" i="1"/>
  <c r="I42" i="1" s="1"/>
  <c r="K41" i="1"/>
  <c r="K42" i="1" s="1"/>
  <c r="I31" i="5"/>
  <c r="I79" i="5" s="1"/>
  <c r="J93" i="4"/>
  <c r="K139" i="4"/>
  <c r="K90" i="4"/>
  <c r="I47" i="3" l="1"/>
  <c r="D67" i="3" s="1"/>
  <c r="D68" i="3" s="1"/>
  <c r="D71" i="3" s="1"/>
  <c r="D72" i="3"/>
  <c r="D54" i="3"/>
  <c r="D60" i="3"/>
  <c r="J231" i="4"/>
  <c r="J257" i="4" s="1"/>
  <c r="J94" i="4" s="1"/>
  <c r="J230" i="4"/>
  <c r="K93" i="4"/>
  <c r="D55" i="3" l="1"/>
  <c r="D70" i="3"/>
  <c r="F78" i="3"/>
  <c r="F80" i="3" s="1"/>
  <c r="F82" i="3" s="1"/>
  <c r="F83" i="3" s="1"/>
  <c r="J256" i="4"/>
  <c r="K66" i="1" s="1"/>
  <c r="J232" i="4"/>
  <c r="K229" i="4" s="1"/>
  <c r="D56" i="3" l="1"/>
  <c r="D59" i="3" s="1"/>
  <c r="K231" i="4"/>
  <c r="K257" i="4" s="1"/>
  <c r="K94" i="4" s="1"/>
  <c r="K230" i="4"/>
  <c r="K256" i="4" s="1"/>
  <c r="K65" i="1"/>
  <c r="K67" i="1"/>
  <c r="K68" i="1"/>
  <c r="K69" i="1"/>
  <c r="E78" i="3" l="1"/>
  <c r="E80" i="3" s="1"/>
  <c r="E82" i="3" s="1"/>
  <c r="E83" i="3" s="1"/>
  <c r="D58" i="3"/>
  <c r="K232" i="4"/>
  <c r="L48" i="1" s="1"/>
  <c r="J48" i="1" l="1"/>
  <c r="I48" i="1"/>
  <c r="H48" i="1"/>
  <c r="K48" i="1"/>
  <c r="H187" i="4" l="1"/>
  <c r="H188" i="4" s="1"/>
  <c r="I187" i="4"/>
  <c r="I188" i="4" s="1"/>
  <c r="J187" i="4"/>
  <c r="J188" i="4" s="1"/>
  <c r="K187" i="4"/>
  <c r="K188" i="4" s="1"/>
  <c r="K99" i="4" l="1"/>
  <c r="K100" i="4" s="1"/>
  <c r="J99" i="4"/>
  <c r="J100" i="4" s="1"/>
  <c r="I99" i="4"/>
  <c r="I100" i="4" s="1"/>
  <c r="H99" i="4"/>
  <c r="H100" i="4" s="1"/>
  <c r="G25" i="4" l="1"/>
  <c r="H25" i="4"/>
  <c r="I25" i="4"/>
  <c r="J25" i="4"/>
  <c r="K25" i="4"/>
  <c r="G26" i="4"/>
  <c r="H26" i="4"/>
  <c r="I26" i="4"/>
  <c r="J26" i="4"/>
  <c r="K26" i="4"/>
  <c r="G28" i="4"/>
  <c r="H28" i="4"/>
  <c r="I28" i="4"/>
  <c r="J28" i="4"/>
  <c r="K28" i="4"/>
  <c r="G30" i="4"/>
  <c r="H30" i="4"/>
  <c r="I30" i="4"/>
  <c r="J30" i="4"/>
  <c r="K30" i="4"/>
  <c r="G31" i="4"/>
  <c r="H31" i="4"/>
  <c r="I31" i="4"/>
  <c r="J31" i="4"/>
  <c r="K31" i="4"/>
  <c r="G84" i="4"/>
  <c r="H84" i="4"/>
  <c r="I84" i="4"/>
  <c r="J84" i="4"/>
  <c r="K84" i="4"/>
  <c r="G96" i="4"/>
  <c r="H96" i="4"/>
  <c r="I96" i="4"/>
  <c r="J96" i="4"/>
  <c r="K96" i="4"/>
  <c r="H102" i="4"/>
  <c r="I102" i="4"/>
  <c r="J102" i="4"/>
  <c r="K102" i="4"/>
  <c r="G104" i="4"/>
  <c r="H104" i="4"/>
  <c r="I104" i="4"/>
  <c r="J104" i="4"/>
  <c r="K104" i="4"/>
  <c r="G105" i="4"/>
  <c r="H105" i="4"/>
  <c r="I105" i="4"/>
  <c r="J105" i="4"/>
  <c r="K105" i="4"/>
  <c r="G106" i="4"/>
  <c r="H106" i="4"/>
  <c r="I106" i="4"/>
  <c r="J106" i="4"/>
  <c r="K106" i="4"/>
  <c r="G107" i="4"/>
  <c r="H107" i="4"/>
  <c r="I107" i="4"/>
  <c r="J107" i="4"/>
  <c r="K107" i="4"/>
  <c r="G108" i="4"/>
  <c r="H108" i="4"/>
  <c r="I108" i="4"/>
  <c r="J108" i="4"/>
  <c r="K108" i="4"/>
  <c r="G110" i="4"/>
  <c r="H110" i="4"/>
  <c r="I110" i="4"/>
  <c r="J110" i="4"/>
  <c r="K110" i="4"/>
  <c r="H197" i="4"/>
  <c r="I197" i="4"/>
  <c r="J197" i="4"/>
  <c r="K197" i="4"/>
  <c r="G198" i="4"/>
  <c r="H198" i="4"/>
  <c r="I198" i="4"/>
  <c r="J198" i="4"/>
  <c r="K198" i="4"/>
  <c r="G199" i="4"/>
  <c r="H199" i="4"/>
  <c r="I199" i="4"/>
  <c r="J199" i="4"/>
  <c r="K199" i="4"/>
  <c r="G201" i="4"/>
  <c r="H201" i="4"/>
  <c r="I201" i="4"/>
  <c r="J201" i="4"/>
  <c r="K201" i="4"/>
  <c r="H204" i="4"/>
  <c r="I204" i="4"/>
  <c r="J204" i="4"/>
  <c r="K204" i="4"/>
  <c r="H206" i="4"/>
  <c r="I206" i="4"/>
  <c r="J206" i="4"/>
  <c r="K206" i="4"/>
  <c r="G207" i="4"/>
  <c r="H207" i="4"/>
  <c r="I207" i="4"/>
  <c r="J207" i="4"/>
  <c r="K207" i="4"/>
  <c r="G208" i="4"/>
  <c r="H208" i="4"/>
  <c r="I208" i="4"/>
  <c r="J208" i="4"/>
  <c r="K208" i="4"/>
  <c r="H210" i="4"/>
  <c r="I210" i="4"/>
  <c r="J210" i="4"/>
  <c r="K210" i="4"/>
  <c r="G211" i="4"/>
  <c r="H211" i="4"/>
  <c r="I211" i="4"/>
  <c r="J211" i="4"/>
  <c r="K211" i="4"/>
  <c r="G212" i="4"/>
  <c r="H212" i="4"/>
  <c r="I212" i="4"/>
  <c r="J212" i="4"/>
  <c r="K212" i="4"/>
  <c r="H215" i="4"/>
  <c r="I215" i="4"/>
  <c r="J215" i="4"/>
  <c r="K215" i="4"/>
  <c r="H216" i="4"/>
  <c r="I216" i="4"/>
  <c r="J216" i="4"/>
  <c r="K216" i="4"/>
  <c r="G217" i="4"/>
  <c r="H217" i="4"/>
  <c r="I217" i="4"/>
  <c r="J217" i="4"/>
  <c r="K217" i="4"/>
  <c r="G218" i="4"/>
  <c r="H218" i="4"/>
  <c r="I218" i="4"/>
  <c r="J218" i="4"/>
  <c r="K218" i="4"/>
  <c r="G220" i="4"/>
  <c r="H220" i="4"/>
  <c r="I220" i="4"/>
  <c r="J220" i="4"/>
  <c r="K220" i="4"/>
  <c r="G253" i="4"/>
  <c r="H253" i="4"/>
  <c r="I253" i="4"/>
  <c r="J253" i="4"/>
  <c r="K253" i="4"/>
  <c r="G254" i="4"/>
  <c r="H254" i="4"/>
  <c r="I254" i="4"/>
  <c r="J254" i="4"/>
  <c r="K254" i="4"/>
  <c r="H45" i="1"/>
  <c r="I45" i="1"/>
  <c r="J45" i="1"/>
  <c r="K45" i="1"/>
  <c r="L45" i="1"/>
  <c r="H46" i="1"/>
  <c r="I46" i="1"/>
  <c r="J46" i="1"/>
  <c r="K46" i="1"/>
  <c r="L46" i="1"/>
  <c r="H50" i="1"/>
  <c r="I50" i="1"/>
  <c r="J50" i="1"/>
  <c r="K50" i="1"/>
  <c r="L50" i="1"/>
  <c r="H52" i="1"/>
  <c r="I52" i="1"/>
  <c r="J52" i="1"/>
  <c r="K52" i="1"/>
  <c r="L52" i="1"/>
  <c r="H53" i="1"/>
  <c r="I53" i="1"/>
  <c r="J53" i="1"/>
  <c r="K53" i="1"/>
  <c r="L53" i="1"/>
  <c r="H54" i="1"/>
  <c r="I54" i="1"/>
  <c r="J54" i="1"/>
  <c r="K54" i="1"/>
  <c r="L54" i="1"/>
  <c r="H55" i="1"/>
  <c r="I55" i="1"/>
  <c r="J55" i="1"/>
  <c r="K55" i="1"/>
  <c r="L55" i="1"/>
  <c r="H56" i="1"/>
  <c r="I56" i="1"/>
  <c r="J56" i="1"/>
  <c r="K56" i="1"/>
  <c r="L56" i="1"/>
  <c r="E61" i="1"/>
  <c r="F61" i="1"/>
  <c r="H61" i="1"/>
  <c r="I61" i="1"/>
  <c r="J61" i="1"/>
  <c r="K61" i="1"/>
  <c r="L61" i="1"/>
  <c r="E62" i="1"/>
  <c r="F62" i="1"/>
  <c r="H62" i="1"/>
  <c r="I62" i="1"/>
  <c r="J62" i="1"/>
  <c r="K62" i="1"/>
  <c r="L62" i="1"/>
  <c r="E65" i="1"/>
  <c r="F65" i="1"/>
  <c r="L65" i="1"/>
  <c r="E66" i="1"/>
  <c r="F66" i="1"/>
  <c r="L66" i="1"/>
  <c r="E67" i="1"/>
  <c r="F67" i="1"/>
  <c r="L67" i="1"/>
  <c r="E68" i="1"/>
  <c r="F68" i="1"/>
  <c r="L68" i="1"/>
  <c r="E69" i="1"/>
  <c r="F69" i="1"/>
  <c r="L69" i="1"/>
  <c r="E71" i="1"/>
  <c r="F71" i="1"/>
  <c r="L71" i="1"/>
  <c r="E72" i="1"/>
  <c r="F72" i="1"/>
  <c r="L72" i="1"/>
  <c r="E73" i="1"/>
  <c r="F73" i="1"/>
  <c r="L73" i="1"/>
  <c r="E74" i="1"/>
  <c r="F74" i="1"/>
  <c r="L74" i="1"/>
  <c r="E75" i="1"/>
  <c r="F75" i="1"/>
  <c r="L75" i="1"/>
  <c r="E77" i="1"/>
  <c r="F77" i="1"/>
  <c r="L77" i="1" a="1"/>
  <c r="L77" i="1"/>
  <c r="E78" i="1"/>
  <c r="F78" i="1"/>
  <c r="E79" i="1"/>
  <c r="F79" i="1"/>
  <c r="E80" i="1"/>
  <c r="F80" i="1"/>
  <c r="E81" i="1"/>
  <c r="F81" i="1"/>
  <c r="E83" i="1"/>
  <c r="F83" i="1"/>
  <c r="L83" i="1" a="1"/>
  <c r="L83" i="1"/>
  <c r="E84" i="1"/>
  <c r="F84" i="1"/>
  <c r="E85" i="1"/>
  <c r="F85" i="1"/>
  <c r="E86" i="1"/>
  <c r="F86" i="1"/>
  <c r="E87" i="1"/>
  <c r="F87" i="1"/>
  <c r="J93" i="1"/>
  <c r="K93" i="1"/>
  <c r="J94" i="1"/>
  <c r="K94" i="1"/>
  <c r="J96" i="1"/>
  <c r="K96" i="1"/>
  <c r="J97" i="1"/>
  <c r="K97" i="1"/>
  <c r="J98" i="1"/>
  <c r="K98" i="1"/>
  <c r="J99" i="1"/>
  <c r="K99" i="1"/>
  <c r="D106" i="1"/>
  <c r="F107" i="1"/>
  <c r="G107" i="1"/>
  <c r="H107" i="1"/>
  <c r="I107" i="1"/>
  <c r="J107" i="1"/>
  <c r="K107" i="1"/>
  <c r="L107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G120" i="1"/>
  <c r="G131" i="1"/>
  <c r="E66" i="5"/>
  <c r="F66" i="5"/>
  <c r="G66" i="5"/>
  <c r="H66" i="5"/>
  <c r="I66" i="5"/>
  <c r="E74" i="5"/>
  <c r="F74" i="5"/>
  <c r="G74" i="5"/>
  <c r="H74" i="5"/>
  <c r="I74" i="5"/>
  <c r="E78" i="5"/>
  <c r="F78" i="5"/>
  <c r="G78" i="5"/>
  <c r="H78" i="5"/>
  <c r="I78" i="5"/>
  <c r="E81" i="5"/>
  <c r="F81" i="5"/>
  <c r="G81" i="5"/>
  <c r="H81" i="5"/>
  <c r="I81" i="5"/>
  <c r="E83" i="5"/>
  <c r="F83" i="5"/>
  <c r="G83" i="5"/>
  <c r="H83" i="5"/>
  <c r="I83" i="5"/>
  <c r="E85" i="5"/>
  <c r="F85" i="5"/>
  <c r="G85" i="5"/>
  <c r="H85" i="5"/>
  <c r="I85" i="5"/>
  <c r="E87" i="5"/>
  <c r="F87" i="5"/>
  <c r="G87" i="5"/>
  <c r="H87" i="5"/>
  <c r="I8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</author>
  </authors>
  <commentList>
    <comment ref="C13" authorId="0" shapeId="0" xr:uid="{C4E130FE-655C-451A-81E5-57DC31AD278B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 from Cap IQ concensus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</author>
  </authors>
  <commentList>
    <comment ref="D31" authorId="0" shapeId="0" xr:uid="{F08E143B-4371-47B6-9FC5-5C939FE9358C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Annual reduction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</author>
  </authors>
  <commentList>
    <comment ref="C8" authorId="0" shapeId="0" xr:uid="{C5469D16-8384-437D-8887-2AF47AEEC0D7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U.S 10-year treasury yield
</t>
        </r>
      </text>
    </comment>
    <comment ref="C9" authorId="0" shapeId="0" xr:uid="{A1CC3F1E-DCDA-4858-991E-F4F91F63BADD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Alpha spread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<sst xmlns="http://schemas.openxmlformats.org/spreadsheetml/2006/main" count="578" uniqueCount="386">
  <si>
    <t>Leveraged Buyout of EA by Silver Lake, PIF, and Affinity Partners</t>
  </si>
  <si>
    <t>In Millions, expect per share data</t>
  </si>
  <si>
    <t>Financial Statement Model</t>
  </si>
  <si>
    <t>Discounted Cash Flow Model</t>
  </si>
  <si>
    <t>INCOME STATEMENT</t>
  </si>
  <si>
    <t>Fiscal Year</t>
  </si>
  <si>
    <t>End Date</t>
  </si>
  <si>
    <t>Revenue</t>
  </si>
  <si>
    <t>Cost of revenue</t>
  </si>
  <si>
    <t>Gross profit</t>
  </si>
  <si>
    <t>Research and development</t>
  </si>
  <si>
    <t>Marketing and sales</t>
  </si>
  <si>
    <t>General and administrative</t>
  </si>
  <si>
    <t>Amortization and impairment of intangible assets</t>
  </si>
  <si>
    <t>Restructuring</t>
  </si>
  <si>
    <t>Operating income (EBIT)</t>
  </si>
  <si>
    <t>Interest income</t>
  </si>
  <si>
    <t>Interest expense</t>
  </si>
  <si>
    <t>Other income (expense)</t>
  </si>
  <si>
    <t>Income before provision for income taxes</t>
  </si>
  <si>
    <t>Provision for income taxes</t>
  </si>
  <si>
    <t>Net income</t>
  </si>
  <si>
    <t>Diluted shares</t>
  </si>
  <si>
    <t>EBITDA</t>
  </si>
  <si>
    <t>Stock-based compensation</t>
  </si>
  <si>
    <t>EBIT (GAAP)</t>
  </si>
  <si>
    <t>Growth rates and margins</t>
  </si>
  <si>
    <t>Revenue growth %</t>
  </si>
  <si>
    <t>Gross margin %</t>
  </si>
  <si>
    <t>Research and development % of sales</t>
  </si>
  <si>
    <t>Marketing and sales % of sales</t>
  </si>
  <si>
    <t>General and administrative % of sales</t>
  </si>
  <si>
    <t>Tax rate</t>
  </si>
  <si>
    <t>Cash and cash equivalents</t>
  </si>
  <si>
    <t>Other current assets</t>
  </si>
  <si>
    <t>Goodwill</t>
  </si>
  <si>
    <t>Deferred income taxes</t>
  </si>
  <si>
    <t>Acquisition-related intangibles</t>
  </si>
  <si>
    <t>Property and equipment</t>
  </si>
  <si>
    <t>Receivables</t>
  </si>
  <si>
    <t>Other assets</t>
  </si>
  <si>
    <t>Total assets</t>
  </si>
  <si>
    <t>Accounts payable, accrued and other current liabilities</t>
  </si>
  <si>
    <t>Deferred revenue</t>
  </si>
  <si>
    <t>Income tax obligations</t>
  </si>
  <si>
    <t>Other liabilities</t>
  </si>
  <si>
    <t>Total liabilities</t>
  </si>
  <si>
    <t>Common stock</t>
  </si>
  <si>
    <t>Retained earnings</t>
  </si>
  <si>
    <t>Total equity</t>
  </si>
  <si>
    <t>Accumulated other comprehensive income</t>
  </si>
  <si>
    <t>Balance check</t>
  </si>
  <si>
    <t>CASH FLOW STATEMENT</t>
  </si>
  <si>
    <t>Depreciation and amortization</t>
  </si>
  <si>
    <t>Changes in receivables</t>
  </si>
  <si>
    <t>Changes in other current assets</t>
  </si>
  <si>
    <t>Changes in accounts payable, accrued &amp; other current liabilities</t>
  </si>
  <si>
    <t>Changes in deferred income taxes</t>
  </si>
  <si>
    <t>Changes in deferred revenue</t>
  </si>
  <si>
    <t>Cash flows from operating activities</t>
  </si>
  <si>
    <t>Capital expenditures</t>
  </si>
  <si>
    <t>Purchases of intangible assets</t>
  </si>
  <si>
    <t>Cash flows from investing activities</t>
  </si>
  <si>
    <t>Required debt repayments</t>
  </si>
  <si>
    <t>Preferred dividends paid</t>
  </si>
  <si>
    <t xml:space="preserve">     Pre-revolver cash flows</t>
  </si>
  <si>
    <t>Revolver</t>
  </si>
  <si>
    <t xml:space="preserve">     Post-revolver cash flows</t>
  </si>
  <si>
    <t>Discretionary debt paydown</t>
  </si>
  <si>
    <t>Cash flows from financing activities</t>
  </si>
  <si>
    <t>Net change in cash</t>
  </si>
  <si>
    <t>Beginning cash balance</t>
  </si>
  <si>
    <t>x</t>
  </si>
  <si>
    <t>Working Capital</t>
  </si>
  <si>
    <t>Beginning of period</t>
  </si>
  <si>
    <t>Increase/Decrease</t>
  </si>
  <si>
    <t>End of period</t>
  </si>
  <si>
    <t>A/R forecasting approach (1=grow with rev, 2=DSO)</t>
  </si>
  <si>
    <t>Grow in line with revenue (1)</t>
  </si>
  <si>
    <t>DSO Assumption (2)</t>
  </si>
  <si>
    <t>Other current assets forecasting approach (1=grow with rev, 2=Days oustanding)</t>
  </si>
  <si>
    <t>Days outstanding Assumption (2)</t>
  </si>
  <si>
    <t>A/P and accrued &amp; other current liabilities</t>
  </si>
  <si>
    <t>DPO Assumption (2)</t>
  </si>
  <si>
    <t>Deferred revenue forecasting approach (1=grow with rev, 2=Days deferred)</t>
  </si>
  <si>
    <t>Days deferred Assumption (2)</t>
  </si>
  <si>
    <t>A/P forecasting approach (1=grow with cost of revenue, 2=DPO)</t>
  </si>
  <si>
    <t>Grow in line with cost of revenue (1)</t>
  </si>
  <si>
    <t>PPE</t>
  </si>
  <si>
    <t>PPE Schedule</t>
  </si>
  <si>
    <t>Plus: Capital expenditures</t>
  </si>
  <si>
    <t>Less: Depreciation</t>
  </si>
  <si>
    <t>Depreciation waterfall</t>
  </si>
  <si>
    <t>Gross PPE</t>
  </si>
  <si>
    <t>Non-depreciable PPE</t>
  </si>
  <si>
    <t>Accumulated depreciation</t>
  </si>
  <si>
    <t>Net PPE excluding non-depreciable</t>
  </si>
  <si>
    <t>Average useful life</t>
  </si>
  <si>
    <t>Override</t>
  </si>
  <si>
    <t>Depreciation from existing PPE</t>
  </si>
  <si>
    <t>Depreciation from capex in 2026</t>
  </si>
  <si>
    <t>Depreciation from capex in 2027</t>
  </si>
  <si>
    <t>Depreciation from capex in 2028</t>
  </si>
  <si>
    <t>Depreciation from capex in 2029</t>
  </si>
  <si>
    <t>Depreciation from capex in 2030</t>
  </si>
  <si>
    <t>Total depreciation</t>
  </si>
  <si>
    <t>Midyear Adj.</t>
  </si>
  <si>
    <t>Intangible Assets</t>
  </si>
  <si>
    <t>Plus: Purchases</t>
  </si>
  <si>
    <t>Less: Amortization</t>
  </si>
  <si>
    <t>Cash and Debt</t>
  </si>
  <si>
    <t>Interest Expense</t>
  </si>
  <si>
    <t>Financing fee amortization</t>
  </si>
  <si>
    <t>Deal-related D&amp;A</t>
  </si>
  <si>
    <t>Addback of PIK interest</t>
  </si>
  <si>
    <t>Latest Fiscal Year End</t>
  </si>
  <si>
    <t>Shares outstanding (millions)</t>
  </si>
  <si>
    <t>Increases/(Decreases)</t>
  </si>
  <si>
    <t>Ending Cash Balance</t>
  </si>
  <si>
    <t>Beginning Cash Balance</t>
  </si>
  <si>
    <t>Interest rate on cash</t>
  </si>
  <si>
    <t>Beginning excess cash</t>
  </si>
  <si>
    <t>Free cash flows generated during the period</t>
  </si>
  <si>
    <t>Cash available to pay down revolver</t>
  </si>
  <si>
    <t>Cash</t>
  </si>
  <si>
    <t>Beginning revolver balance</t>
  </si>
  <si>
    <t>Ending revolver balance</t>
  </si>
  <si>
    <t>Mandatory paydown</t>
  </si>
  <si>
    <t>Cash sweep</t>
  </si>
  <si>
    <t>Mandatory paydown (% of loan)</t>
  </si>
  <si>
    <t>Cash sweep (% of available cash used)</t>
  </si>
  <si>
    <t>Senior Note</t>
  </si>
  <si>
    <t>Beginning senior note balance</t>
  </si>
  <si>
    <t>Mandatory amortization</t>
  </si>
  <si>
    <t>Ending senior note balance</t>
  </si>
  <si>
    <t>Mandatory paydown (% of note)</t>
  </si>
  <si>
    <t>Preferred Stock</t>
  </si>
  <si>
    <t>PIK accrual</t>
  </si>
  <si>
    <t>Cash dividend</t>
  </si>
  <si>
    <t>Beginning preferred stock balance</t>
  </si>
  <si>
    <t>Ending preferred stock balance</t>
  </si>
  <si>
    <t>Sub Note - Cash interest</t>
  </si>
  <si>
    <t>Sub Note - PIK interest</t>
  </si>
  <si>
    <t>GENERAL INPUTS &amp; ASSUMPTIONS</t>
  </si>
  <si>
    <t>Company Name</t>
  </si>
  <si>
    <t>Ticker</t>
  </si>
  <si>
    <t>Target share price</t>
  </si>
  <si>
    <t>Share price closing date</t>
  </si>
  <si>
    <t>LTM EBITDA</t>
  </si>
  <si>
    <t>Gross Debt</t>
  </si>
  <si>
    <t>EV/LTM EBITDA</t>
  </si>
  <si>
    <t>ENTRY VALUATION</t>
  </si>
  <si>
    <t>Valuation Approach:</t>
  </si>
  <si>
    <t>Enterprise Value</t>
  </si>
  <si>
    <t>Less: Gross debt</t>
  </si>
  <si>
    <t>Plus: Cash</t>
  </si>
  <si>
    <t>Offer Value</t>
  </si>
  <si>
    <t>Offer Value per share</t>
  </si>
  <si>
    <t>FEES</t>
  </si>
  <si>
    <t>% fees</t>
  </si>
  <si>
    <t>Fee</t>
  </si>
  <si>
    <t>Term</t>
  </si>
  <si>
    <t>Amortization</t>
  </si>
  <si>
    <t>Senior note</t>
  </si>
  <si>
    <t>Sub note</t>
  </si>
  <si>
    <t>Financing fees</t>
  </si>
  <si>
    <t>Transaction fees</t>
  </si>
  <si>
    <t>% of Offer Value</t>
  </si>
  <si>
    <t>SOURCES &amp; USES</t>
  </si>
  <si>
    <t>Sources of Funds</t>
  </si>
  <si>
    <t>EBITDA Turns</t>
  </si>
  <si>
    <t>Uses of Funds</t>
  </si>
  <si>
    <t>EXIT VALUATION</t>
  </si>
  <si>
    <t>Exit EBITDA Multiple</t>
  </si>
  <si>
    <t>Exit EBITDA</t>
  </si>
  <si>
    <t>Enterprise value</t>
  </si>
  <si>
    <t>Net Debt</t>
  </si>
  <si>
    <t>Sub Note</t>
  </si>
  <si>
    <t>Pref. stock</t>
  </si>
  <si>
    <t>Equity value</t>
  </si>
  <si>
    <t>Sponsor equity</t>
  </si>
  <si>
    <t>Preferred stock</t>
  </si>
  <si>
    <t>Assumed exit at March 31, 2030</t>
  </si>
  <si>
    <t>RETURNS</t>
  </si>
  <si>
    <t>Cash-on-cash</t>
  </si>
  <si>
    <t>IRR</t>
  </si>
  <si>
    <t>Initial</t>
  </si>
  <si>
    <t>NM</t>
  </si>
  <si>
    <t>Sub Note at exit EBITDA multiple of:</t>
  </si>
  <si>
    <t>Preferred Stock at exit EBITDA multiple of:</t>
  </si>
  <si>
    <t>Sponsor's Equity at exit EBITDA multiple of:</t>
  </si>
  <si>
    <t>Financing</t>
  </si>
  <si>
    <t>% of Total Capital</t>
  </si>
  <si>
    <t>% FD Ownership</t>
  </si>
  <si>
    <t>Expected IRR</t>
  </si>
  <si>
    <t>Total</t>
  </si>
  <si>
    <t>SENSITIVITY ANALYSIS</t>
  </si>
  <si>
    <t>Electronic Arts</t>
  </si>
  <si>
    <t>NASDAQ: EA</t>
  </si>
  <si>
    <t xml:space="preserve">Minimum cash </t>
  </si>
  <si>
    <t>Excess Cash</t>
  </si>
  <si>
    <t>PIF rollover</t>
  </si>
  <si>
    <t>Buyout of equity</t>
  </si>
  <si>
    <t>Refinancing of debt</t>
  </si>
  <si>
    <t>Transaction and financing fees</t>
  </si>
  <si>
    <t>Offer/share</t>
  </si>
  <si>
    <t>EBITDA Multiple</t>
  </si>
  <si>
    <t>Term loan</t>
  </si>
  <si>
    <t>Total Sources</t>
  </si>
  <si>
    <t>Total Uses</t>
  </si>
  <si>
    <t xml:space="preserve">Term loan </t>
  </si>
  <si>
    <t>Financing Fees</t>
  </si>
  <si>
    <t>Circ Breaker (Off = 1, On = 0)</t>
  </si>
  <si>
    <t>Less: Minimum cash balance</t>
  </si>
  <si>
    <t>Term Loan</t>
  </si>
  <si>
    <t>Beginning Term Loan balance</t>
  </si>
  <si>
    <t>Ending Term Loan balance</t>
  </si>
  <si>
    <t>% of available cash used</t>
  </si>
  <si>
    <t>PIK Interest</t>
  </si>
  <si>
    <t>Beginning sub note balance</t>
  </si>
  <si>
    <t>Ending sub note balance</t>
  </si>
  <si>
    <t>PIK Rate</t>
  </si>
  <si>
    <t>Cash Rate</t>
  </si>
  <si>
    <t>Beginning financing fees balance</t>
  </si>
  <si>
    <t>Ending financing fees balance</t>
  </si>
  <si>
    <t>Debt</t>
  </si>
  <si>
    <t>PRO FORMA BALANCE SHEET ADJUSTMENTS</t>
  </si>
  <si>
    <t>PRO FORMA BALANCE SHEET</t>
  </si>
  <si>
    <t>HISTORICAL BALANCE SHEET</t>
  </si>
  <si>
    <t>Accounting</t>
  </si>
  <si>
    <t>Pro Forma</t>
  </si>
  <si>
    <t>Purchase Price Allocation</t>
  </si>
  <si>
    <t>Pro Forma Adjustments</t>
  </si>
  <si>
    <t>LBO / Recap</t>
  </si>
  <si>
    <t>Plus: PP&amp;E write ups</t>
  </si>
  <si>
    <t>Plus: Intangible asset write ups</t>
  </si>
  <si>
    <t>Plus: New deferred tax liabilities created</t>
  </si>
  <si>
    <t>Offer value</t>
  </si>
  <si>
    <t>Goodwill created in transaction</t>
  </si>
  <si>
    <t>Deal-related Accounting Adjustments</t>
  </si>
  <si>
    <t>Tax Structure</t>
  </si>
  <si>
    <t>Stock Sale</t>
  </si>
  <si>
    <t>LBO</t>
  </si>
  <si>
    <t>% Write-up</t>
  </si>
  <si>
    <t>Asset write-up</t>
  </si>
  <si>
    <t>Useful life</t>
  </si>
  <si>
    <t>Incremental depreciation expense</t>
  </si>
  <si>
    <t>Incremental deferred tax liabilities</t>
  </si>
  <si>
    <t>Incremental amortization expense</t>
  </si>
  <si>
    <t>Asset Write-ups</t>
  </si>
  <si>
    <t>Book Value of Total Assets</t>
  </si>
  <si>
    <t>Fair Market Value of Assets</t>
  </si>
  <si>
    <t>Book Value of Total Liabilities</t>
  </si>
  <si>
    <t>Fair Market Value of Liabilities</t>
  </si>
  <si>
    <t>LBO preferred stock</t>
  </si>
  <si>
    <t>Equity</t>
  </si>
  <si>
    <t>Intangible assets</t>
  </si>
  <si>
    <t>Deferred tax liabilities</t>
  </si>
  <si>
    <t>Equity fair market value</t>
  </si>
  <si>
    <t>Book value of PP&amp;E</t>
  </si>
  <si>
    <t xml:space="preserve">Book value of intangible assets </t>
  </si>
  <si>
    <t>Step</t>
  </si>
  <si>
    <t>Initial Investment</t>
  </si>
  <si>
    <t>% Ownership</t>
  </si>
  <si>
    <t>Fully Diluted</t>
  </si>
  <si>
    <t>PIF Rollover at exit EBITDA multiple of:</t>
  </si>
  <si>
    <t>RETURNS SUMMARY</t>
  </si>
  <si>
    <t>Actual</t>
  </si>
  <si>
    <t>Offer Price / Share At Various Sponsor Hurdle Rates</t>
  </si>
  <si>
    <t>Sponsor Hurdle Rate (Minimum IRR)</t>
  </si>
  <si>
    <t>Diluted shares outstanding</t>
  </si>
  <si>
    <t>Offer value/share</t>
  </si>
  <si>
    <t>% premium/discount</t>
  </si>
  <si>
    <t>EV/LTM EBITDA multiple</t>
  </si>
  <si>
    <t xml:space="preserve">   Offer premium/discount</t>
  </si>
  <si>
    <t>Highlight IRR &gt;</t>
  </si>
  <si>
    <t>Sponsor IRR At Various Leverage And Offer Price / Share Sensitivity</t>
  </si>
  <si>
    <t>EXPLICIT OFFER PRICE / SHARE (APPROACH 2) MUST BE SELECTED FOR DATA TABLE TO APPEAR</t>
  </si>
  <si>
    <t>Offer</t>
  </si>
  <si>
    <t>Price:</t>
  </si>
  <si>
    <t>Term loan/LTM EBITDA</t>
  </si>
  <si>
    <t>Sponsor IRR At Various Leverage And Initial EBITDA Multiple Sensitivity</t>
  </si>
  <si>
    <t>EXPLICIT EBITDA (APPROACH 1) MUST BE SELECTED FOR DATA TABLE TO APPEAR</t>
  </si>
  <si>
    <t>Multiple:</t>
  </si>
  <si>
    <t>WACC Analysis</t>
  </si>
  <si>
    <t>INPUTS</t>
  </si>
  <si>
    <t>BETA CALCULATION</t>
  </si>
  <si>
    <t>5-year</t>
  </si>
  <si>
    <t>Tax rate (5-year average)</t>
  </si>
  <si>
    <t>average tax rate</t>
  </si>
  <si>
    <t>Levered Beta</t>
  </si>
  <si>
    <t>Total Debt</t>
  </si>
  <si>
    <t>Market cap</t>
  </si>
  <si>
    <t>Unlevered Beta</t>
  </si>
  <si>
    <t>Risk-free rate</t>
  </si>
  <si>
    <t>Market risk premium</t>
  </si>
  <si>
    <t>WACC</t>
  </si>
  <si>
    <t>Average</t>
  </si>
  <si>
    <t>Adjusted market risk premium</t>
  </si>
  <si>
    <t>Add: risk-free rate</t>
  </si>
  <si>
    <t>Cost of Equity</t>
  </si>
  <si>
    <t>Equity to total capitalization</t>
  </si>
  <si>
    <t>Cost of equity portion</t>
  </si>
  <si>
    <t>WACC Sensitivity</t>
  </si>
  <si>
    <t>Cost of debt</t>
  </si>
  <si>
    <t>Pre-tax cost of debt</t>
  </si>
  <si>
    <t>After-tax cost of debt</t>
  </si>
  <si>
    <t>Debt to total capitalization</t>
  </si>
  <si>
    <t>Cost of debt portion</t>
  </si>
  <si>
    <t>Pre-tax cost of debt step</t>
  </si>
  <si>
    <t>Cost of equity step</t>
  </si>
  <si>
    <t>EA Avg Tax Rate</t>
  </si>
  <si>
    <t>SOFR Rate</t>
  </si>
  <si>
    <t>SOFR Spread</t>
  </si>
  <si>
    <t>Floor</t>
  </si>
  <si>
    <t>Coupon rate</t>
  </si>
  <si>
    <t>Roblox Corporation</t>
  </si>
  <si>
    <t>NYSE: RBLX</t>
  </si>
  <si>
    <t>Take-Two Interactive Software</t>
  </si>
  <si>
    <t>Playtika Holding Corp</t>
  </si>
  <si>
    <t>NASDAQ: TTWO</t>
  </si>
  <si>
    <t>NASDAQ: PLTK</t>
  </si>
  <si>
    <t>Playstudios</t>
  </si>
  <si>
    <t>NASDAQ: MYPS</t>
  </si>
  <si>
    <t>EA Levered Beta</t>
  </si>
  <si>
    <t>Tax expense</t>
  </si>
  <si>
    <t>NOPAT</t>
  </si>
  <si>
    <t>Non cash Add Back</t>
  </si>
  <si>
    <t>Net Working Capital Adjustments</t>
  </si>
  <si>
    <t>(Increase)/Decrease in receivables</t>
  </si>
  <si>
    <t>(Increase)/Decrease in other current assets</t>
  </si>
  <si>
    <t>Increase/(Decrease) in A/P, accured and other current liabilities</t>
  </si>
  <si>
    <t>Increase/(Decrease) in deferred revenue</t>
  </si>
  <si>
    <t>Capital Expenditures</t>
  </si>
  <si>
    <t>Unlevered Free Cash Flow</t>
  </si>
  <si>
    <t>PV Factor</t>
  </si>
  <si>
    <t>PV of Unlevered Free Cash Flow</t>
  </si>
  <si>
    <t>Terminal Value - Gordon Growth</t>
  </si>
  <si>
    <t>Terminal Value - Exit Multiple</t>
  </si>
  <si>
    <t>Shares Outstanding</t>
  </si>
  <si>
    <t>Long-term growth rate</t>
  </si>
  <si>
    <t>Terminal year EBITDA</t>
  </si>
  <si>
    <t>Gross debt and equivalents</t>
  </si>
  <si>
    <t>Basic shares</t>
  </si>
  <si>
    <t>EBITDA multiple</t>
  </si>
  <si>
    <t>Restricted stock/RSUs</t>
  </si>
  <si>
    <t>Terminal value</t>
  </si>
  <si>
    <t>Convertible debt</t>
  </si>
  <si>
    <t>SARs/Options</t>
  </si>
  <si>
    <t>PV of terminal value</t>
  </si>
  <si>
    <t xml:space="preserve">  Total proceeds</t>
  </si>
  <si>
    <t>PV of stage 1 cash flows</t>
  </si>
  <si>
    <t>Operating lease liabilities</t>
  </si>
  <si>
    <t xml:space="preserve">  Shares repurchased</t>
  </si>
  <si>
    <t>Total Enterprise Value</t>
  </si>
  <si>
    <t>Noncontrolling interests</t>
  </si>
  <si>
    <t xml:space="preserve">  Net dilutive impact of SARs/Options</t>
  </si>
  <si>
    <t>Nonoperating assets</t>
  </si>
  <si>
    <t>Terminal value as % of TEV</t>
  </si>
  <si>
    <t>Cash and marketable securities</t>
  </si>
  <si>
    <t>Convertible preferred stock</t>
  </si>
  <si>
    <t>Stage 1 cash flows as % of TEV</t>
  </si>
  <si>
    <t>Implied TV exit EBITDA multiple</t>
  </si>
  <si>
    <t>Implied terminal growth rate</t>
  </si>
  <si>
    <t>Net Diluted Shares Outstanding</t>
  </si>
  <si>
    <t>Discount Rate (WACC)</t>
  </si>
  <si>
    <t>Midyear Convention</t>
  </si>
  <si>
    <t>SUMMARY AT 31.5x EXIT EBITDA MULTIPLE</t>
  </si>
  <si>
    <t>VALUATION</t>
  </si>
  <si>
    <t>Perpetuity</t>
  </si>
  <si>
    <t>Net debt</t>
  </si>
  <si>
    <t>Shares outstanding</t>
  </si>
  <si>
    <t>Equity value per share</t>
  </si>
  <si>
    <t>LBO Offer</t>
  </si>
  <si>
    <t>Premium/Discount to LBO Offer</t>
  </si>
  <si>
    <t>Most recent fiscal year end</t>
  </si>
  <si>
    <t>End of first fiscal year</t>
  </si>
  <si>
    <t>Valuation date</t>
  </si>
  <si>
    <t>Share price</t>
  </si>
  <si>
    <t>Potion of first year cash flows</t>
  </si>
  <si>
    <t>Val Date</t>
  </si>
  <si>
    <t>Unlevered Free Cash Flow Stub Adjusted</t>
  </si>
  <si>
    <t>2030 FCF x (1+g)</t>
  </si>
  <si>
    <t>Debt to total cap</t>
  </si>
  <si>
    <t>Equity to total cap</t>
  </si>
  <si>
    <t>Purchase Price Allocation &amp; Pro Forma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</si>
</sst>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####&quot;A&quot;"/>
    <numFmt numFmtId="165" formatCode="####&quot;E&quot;"/>
    <numFmt numFmtId="166" formatCode="#,##0_);\(#,##0\)"/>
    <numFmt numFmtId="167" formatCode="0.00%_);\(0.00%\)"/>
    <numFmt numFmtId="168" formatCode="0.00_);\(0.00\)"/>
    <numFmt numFmtId="169" formatCode="##\ &quot;days&quot;"/>
    <numFmt numFmtId="170" formatCode="#\ &quot;years&quot;"/>
    <numFmt numFmtId="171" formatCode="&quot;Approach&quot;\ #"/>
    <numFmt numFmtId="172" formatCode="&quot;$&quot;0.00_);\(&quot;$&quot;0.00\)"/>
    <numFmt numFmtId="173" formatCode="0.00\x_);\(0.00\x\)"/>
    <numFmt numFmtId="174" formatCode="0.00%_);\(0.00%\);@_)"/>
    <numFmt numFmtId="175" formatCode="0%_);\(0%\);@_)"/>
    <numFmt numFmtId="176" formatCode="0.0\x_);\(0.0\x\);@_)"/>
    <numFmt numFmtId="177" formatCode="0.00\x_);\(0.00\x\);@_)"/>
    <numFmt numFmtId="178" formatCode="&quot;$&quot;#,##0.00_);\(&quot;$&quot;#,##0.00\);@_)"/>
    <numFmt numFmtId="179" formatCode="&quot;S + &quot;0.00%_);\(0.00%\)"/>
    <numFmt numFmtId="180" formatCode="0.0\x_);\(0.0\x\)"/>
    <numFmt numFmtId="181" formatCode="0.0%_);\(0.0%\)"/>
    <numFmt numFmtId="187" formatCode="#,##0.0000_);\(#,##0.0000\)"/>
    <numFmt numFmtId="189" formatCode="&quot;$&quot;0.00"/>
    <numFmt numFmtId="190" formatCode="&quot;Year&quot;\ #"/>
  </numFmts>
  <fonts count="3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0000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0000FF"/>
      <name val="Calibri"/>
      <family val="2"/>
    </font>
    <font>
      <sz val="11"/>
      <color theme="9"/>
      <name val="Aptos Narrow"/>
      <family val="2"/>
      <scheme val="minor"/>
    </font>
    <font>
      <b/>
      <sz val="11"/>
      <color rgb="FF0000FF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9"/>
      <name val="Calibri"/>
      <family val="2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9"/>
      <name val="Calibri"/>
      <family val="2"/>
    </font>
    <font>
      <b/>
      <sz val="15"/>
      <color theme="0"/>
      <name val="Calibri"/>
      <family val="2"/>
    </font>
    <font>
      <i/>
      <sz val="11"/>
      <color theme="0"/>
      <name val="Calibri"/>
      <family val="2"/>
    </font>
    <font>
      <b/>
      <sz val="11"/>
      <color theme="0"/>
      <name val="Calibri"/>
      <family val="2"/>
    </font>
    <font>
      <b/>
      <i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249977111117893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3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166" fontId="0" fillId="0" borderId="0" xfId="0" applyNumberFormat="1"/>
    <xf numFmtId="166" fontId="0" fillId="0" borderId="1" xfId="0" applyNumberFormat="1" applyBorder="1"/>
    <xf numFmtId="166" fontId="1" fillId="0" borderId="0" xfId="0" applyNumberFormat="1" applyFont="1"/>
    <xf numFmtId="166" fontId="1" fillId="0" borderId="2" xfId="0" applyNumberFormat="1" applyFont="1" applyBorder="1"/>
    <xf numFmtId="166" fontId="4" fillId="0" borderId="1" xfId="0" applyNumberFormat="1" applyFont="1" applyBorder="1"/>
    <xf numFmtId="166" fontId="4" fillId="0" borderId="0" xfId="0" applyNumberFormat="1" applyFont="1"/>
    <xf numFmtId="0" fontId="5" fillId="0" borderId="1" xfId="0" applyFont="1" applyBorder="1"/>
    <xf numFmtId="167" fontId="0" fillId="0" borderId="0" xfId="0" applyNumberFormat="1"/>
    <xf numFmtId="0" fontId="5" fillId="0" borderId="0" xfId="0" applyFont="1"/>
    <xf numFmtId="166" fontId="5" fillId="0" borderId="0" xfId="0" applyNumberFormat="1" applyFont="1"/>
    <xf numFmtId="165" fontId="1" fillId="0" borderId="0" xfId="0" applyNumberFormat="1" applyFont="1"/>
    <xf numFmtId="14" fontId="1" fillId="0" borderId="1" xfId="0" applyNumberFormat="1" applyFont="1" applyBorder="1"/>
    <xf numFmtId="0" fontId="6" fillId="0" borderId="0" xfId="0" applyFont="1"/>
    <xf numFmtId="169" fontId="0" fillId="0" borderId="0" xfId="0" applyNumberFormat="1"/>
    <xf numFmtId="0" fontId="3" fillId="0" borderId="0" xfId="0" applyFont="1"/>
    <xf numFmtId="0" fontId="0" fillId="0" borderId="0" xfId="0" applyAlignment="1">
      <alignment horizontal="centerContinuous"/>
    </xf>
    <xf numFmtId="166" fontId="7" fillId="0" borderId="1" xfId="0" applyNumberFormat="1" applyFont="1" applyBorder="1"/>
    <xf numFmtId="14" fontId="1" fillId="0" borderId="0" xfId="0" applyNumberFormat="1" applyFont="1"/>
    <xf numFmtId="0" fontId="2" fillId="0" borderId="0" xfId="0" applyFont="1" applyAlignment="1">
      <alignment horizontal="centerContinuous"/>
    </xf>
    <xf numFmtId="0" fontId="6" fillId="0" borderId="1" xfId="0" applyFont="1" applyBorder="1"/>
    <xf numFmtId="0" fontId="2" fillId="0" borderId="1" xfId="0" applyFont="1" applyBorder="1" applyAlignment="1">
      <alignment horizontal="centerContinuous"/>
    </xf>
    <xf numFmtId="0" fontId="8" fillId="2" borderId="3" xfId="0" applyFont="1" applyFill="1" applyBorder="1" applyAlignment="1">
      <alignment horizontal="centerContinuous"/>
    </xf>
    <xf numFmtId="171" fontId="2" fillId="0" borderId="0" xfId="0" applyNumberFormat="1" applyFont="1" applyAlignment="1">
      <alignment horizontal="centerContinuous"/>
    </xf>
    <xf numFmtId="0" fontId="2" fillId="0" borderId="8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171" fontId="2" fillId="0" borderId="11" xfId="0" applyNumberFormat="1" applyFont="1" applyBorder="1" applyAlignment="1">
      <alignment horizontal="centerContinuous"/>
    </xf>
    <xf numFmtId="171" fontId="3" fillId="0" borderId="0" xfId="0" applyNumberFormat="1" applyFont="1" applyAlignment="1">
      <alignment horizontal="centerContinuous"/>
    </xf>
    <xf numFmtId="171" fontId="3" fillId="0" borderId="11" xfId="0" applyNumberFormat="1" applyFont="1" applyBorder="1" applyAlignment="1">
      <alignment horizontal="centerContinuous"/>
    </xf>
    <xf numFmtId="166" fontId="2" fillId="0" borderId="11" xfId="0" applyNumberFormat="1" applyFont="1" applyBorder="1"/>
    <xf numFmtId="166" fontId="2" fillId="0" borderId="4" xfId="0" applyNumberFormat="1" applyFont="1" applyBorder="1"/>
    <xf numFmtId="166" fontId="2" fillId="0" borderId="0" xfId="0" applyNumberFormat="1" applyFont="1"/>
    <xf numFmtId="166" fontId="2" fillId="0" borderId="6" xfId="0" applyNumberFormat="1" applyFont="1" applyBorder="1"/>
    <xf numFmtId="166" fontId="2" fillId="0" borderId="8" xfId="0" applyNumberFormat="1" applyFont="1" applyBorder="1"/>
    <xf numFmtId="166" fontId="2" fillId="0" borderId="13" xfId="0" applyNumberFormat="1" applyFont="1" applyBorder="1"/>
    <xf numFmtId="0" fontId="6" fillId="0" borderId="8" xfId="0" applyFont="1" applyBorder="1"/>
    <xf numFmtId="166" fontId="9" fillId="0" borderId="0" xfId="0" applyNumberFormat="1" applyFont="1"/>
    <xf numFmtId="166" fontId="10" fillId="0" borderId="0" xfId="0" applyNumberFormat="1" applyFont="1"/>
    <xf numFmtId="166" fontId="1" fillId="0" borderId="14" xfId="0" applyNumberFormat="1" applyFont="1" applyBorder="1"/>
    <xf numFmtId="167" fontId="2" fillId="0" borderId="5" xfId="0" applyNumberFormat="1" applyFont="1" applyBorder="1"/>
    <xf numFmtId="167" fontId="2" fillId="0" borderId="1" xfId="0" applyNumberFormat="1" applyFont="1" applyBorder="1"/>
    <xf numFmtId="167" fontId="2" fillId="0" borderId="13" xfId="0" applyNumberFormat="1" applyFont="1" applyBorder="1"/>
    <xf numFmtId="173" fontId="2" fillId="0" borderId="6" xfId="0" applyNumberFormat="1" applyFont="1" applyBorder="1"/>
    <xf numFmtId="173" fontId="2" fillId="0" borderId="0" xfId="0" applyNumberFormat="1" applyFont="1"/>
    <xf numFmtId="173" fontId="2" fillId="0" borderId="11" xfId="0" applyNumberFormat="1" applyFont="1" applyBorder="1"/>
    <xf numFmtId="166" fontId="6" fillId="0" borderId="0" xfId="0" applyNumberFormat="1" applyFont="1"/>
    <xf numFmtId="166" fontId="6" fillId="0" borderId="11" xfId="0" applyNumberFormat="1" applyFont="1" applyBorder="1"/>
    <xf numFmtId="0" fontId="2" fillId="0" borderId="13" xfId="0" applyFont="1" applyBorder="1" applyAlignment="1">
      <alignment horizontal="centerContinuous"/>
    </xf>
    <xf numFmtId="173" fontId="2" fillId="0" borderId="1" xfId="0" applyNumberFormat="1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166" fontId="2" fillId="0" borderId="1" xfId="0" applyNumberFormat="1" applyFont="1" applyBorder="1"/>
    <xf numFmtId="167" fontId="2" fillId="0" borderId="0" xfId="0" applyNumberFormat="1" applyFont="1"/>
    <xf numFmtId="167" fontId="9" fillId="0" borderId="0" xfId="0" applyNumberFormat="1" applyFont="1"/>
    <xf numFmtId="170" fontId="2" fillId="0" borderId="0" xfId="0" applyNumberFormat="1" applyFont="1"/>
    <xf numFmtId="170" fontId="9" fillId="0" borderId="0" xfId="0" applyNumberFormat="1" applyFont="1"/>
    <xf numFmtId="166" fontId="2" fillId="0" borderId="11" xfId="0" applyNumberFormat="1" applyFont="1" applyBorder="1" applyAlignment="1">
      <alignment horizontal="right"/>
    </xf>
    <xf numFmtId="0" fontId="1" fillId="0" borderId="14" xfId="0" applyFont="1" applyBorder="1"/>
    <xf numFmtId="167" fontId="4" fillId="0" borderId="0" xfId="0" applyNumberFormat="1" applyFont="1" applyAlignment="1">
      <alignment horizontal="left"/>
    </xf>
    <xf numFmtId="167" fontId="4" fillId="0" borderId="0" xfId="0" applyNumberFormat="1" applyFont="1"/>
    <xf numFmtId="0" fontId="0" fillId="0" borderId="1" xfId="0" applyBorder="1" applyAlignment="1">
      <alignment horizontal="centerContinuous"/>
    </xf>
    <xf numFmtId="167" fontId="4" fillId="0" borderId="1" xfId="0" applyNumberFormat="1" applyFont="1" applyBorder="1" applyAlignment="1">
      <alignment horizontal="centerContinuous"/>
    </xf>
    <xf numFmtId="166" fontId="9" fillId="0" borderId="11" xfId="0" applyNumberFormat="1" applyFont="1" applyBorder="1"/>
    <xf numFmtId="0" fontId="0" fillId="0" borderId="17" xfId="0" applyBorder="1"/>
    <xf numFmtId="0" fontId="0" fillId="0" borderId="8" xfId="0" applyBorder="1"/>
    <xf numFmtId="166" fontId="0" fillId="0" borderId="11" xfId="0" applyNumberFormat="1" applyBorder="1"/>
    <xf numFmtId="0" fontId="0" fillId="0" borderId="12" xfId="0" applyBorder="1"/>
    <xf numFmtId="0" fontId="0" fillId="0" borderId="11" xfId="0" applyBorder="1"/>
    <xf numFmtId="166" fontId="0" fillId="0" borderId="13" xfId="0" applyNumberFormat="1" applyBorder="1"/>
    <xf numFmtId="0" fontId="0" fillId="0" borderId="6" xfId="0" applyBorder="1"/>
    <xf numFmtId="0" fontId="0" fillId="0" borderId="13" xfId="0" applyBorder="1"/>
    <xf numFmtId="0" fontId="1" fillId="0" borderId="15" xfId="0" applyFont="1" applyBorder="1"/>
    <xf numFmtId="0" fontId="0" fillId="0" borderId="16" xfId="0" applyBorder="1"/>
    <xf numFmtId="170" fontId="10" fillId="0" borderId="11" xfId="0" applyNumberFormat="1" applyFont="1" applyBorder="1"/>
    <xf numFmtId="167" fontId="4" fillId="0" borderId="11" xfId="0" applyNumberFormat="1" applyFont="1" applyBorder="1"/>
    <xf numFmtId="167" fontId="0" fillId="0" borderId="11" xfId="0" applyNumberFormat="1" applyBorder="1"/>
    <xf numFmtId="0" fontId="5" fillId="0" borderId="12" xfId="0" applyFont="1" applyBorder="1"/>
    <xf numFmtId="166" fontId="4" fillId="0" borderId="1" xfId="0" applyNumberFormat="1" applyFont="1" applyBorder="1" applyAlignment="1">
      <alignment horizontal="right"/>
    </xf>
    <xf numFmtId="170" fontId="4" fillId="0" borderId="11" xfId="0" applyNumberFormat="1" applyFont="1" applyBorder="1"/>
    <xf numFmtId="166" fontId="7" fillId="0" borderId="1" xfId="0" applyNumberFormat="1" applyFont="1" applyBorder="1" applyAlignment="1">
      <alignment horizontal="right"/>
    </xf>
    <xf numFmtId="166" fontId="10" fillId="0" borderId="1" xfId="0" applyNumberFormat="1" applyFont="1" applyBorder="1"/>
    <xf numFmtId="166" fontId="14" fillId="0" borderId="11" xfId="0" applyNumberFormat="1" applyFont="1" applyBorder="1"/>
    <xf numFmtId="173" fontId="9" fillId="0" borderId="13" xfId="0" applyNumberFormat="1" applyFont="1" applyBorder="1"/>
    <xf numFmtId="173" fontId="2" fillId="0" borderId="0" xfId="0" applyNumberFormat="1" applyFont="1" applyAlignment="1">
      <alignment horizontal="centerContinuous"/>
    </xf>
    <xf numFmtId="167" fontId="2" fillId="0" borderId="11" xfId="0" applyNumberFormat="1" applyFont="1" applyBorder="1"/>
    <xf numFmtId="166" fontId="2" fillId="0" borderId="12" xfId="0" applyNumberFormat="1" applyFont="1" applyBorder="1"/>
    <xf numFmtId="166" fontId="14" fillId="0" borderId="0" xfId="0" applyNumberFormat="1" applyFont="1"/>
    <xf numFmtId="173" fontId="2" fillId="0" borderId="8" xfId="0" applyNumberFormat="1" applyFont="1" applyBorder="1"/>
    <xf numFmtId="0" fontId="6" fillId="0" borderId="1" xfId="0" applyFont="1" applyBorder="1" applyAlignment="1">
      <alignment horizontal="centerContinuous"/>
    </xf>
    <xf numFmtId="167" fontId="2" fillId="0" borderId="0" xfId="0" applyNumberFormat="1" applyFont="1" applyAlignment="1">
      <alignment horizontal="centerContinuous"/>
    </xf>
    <xf numFmtId="173" fontId="2" fillId="0" borderId="12" xfId="0" applyNumberFormat="1" applyFont="1" applyBorder="1"/>
    <xf numFmtId="173" fontId="2" fillId="0" borderId="1" xfId="0" applyNumberFormat="1" applyFont="1" applyBorder="1" applyAlignment="1">
      <alignment horizontal="centerContinuous"/>
    </xf>
    <xf numFmtId="167" fontId="2" fillId="0" borderId="1" xfId="0" applyNumberFormat="1" applyFont="1" applyBorder="1" applyAlignment="1">
      <alignment horizontal="centerContinuous"/>
    </xf>
    <xf numFmtId="166" fontId="9" fillId="0" borderId="1" xfId="0" applyNumberFormat="1" applyFont="1" applyBorder="1"/>
    <xf numFmtId="167" fontId="6" fillId="0" borderId="1" xfId="0" applyNumberFormat="1" applyFont="1" applyBorder="1"/>
    <xf numFmtId="166" fontId="2" fillId="0" borderId="0" xfId="0" applyNumberFormat="1" applyFont="1" applyAlignment="1">
      <alignment horizontal="centerContinuous"/>
    </xf>
    <xf numFmtId="166" fontId="2" fillId="0" borderId="1" xfId="0" applyNumberFormat="1" applyFont="1" applyBorder="1" applyAlignment="1">
      <alignment horizontal="centerContinuous"/>
    </xf>
    <xf numFmtId="174" fontId="16" fillId="0" borderId="18" xfId="0" applyNumberFormat="1" applyFont="1" applyBorder="1"/>
    <xf numFmtId="0" fontId="3" fillId="0" borderId="12" xfId="0" applyFont="1" applyBorder="1"/>
    <xf numFmtId="37" fontId="1" fillId="0" borderId="0" xfId="0" applyNumberFormat="1" applyFont="1"/>
    <xf numFmtId="37" fontId="0" fillId="0" borderId="0" xfId="0" applyNumberFormat="1"/>
    <xf numFmtId="39" fontId="0" fillId="0" borderId="0" xfId="0" applyNumberFormat="1"/>
    <xf numFmtId="175" fontId="5" fillId="0" borderId="0" xfId="0" applyNumberFormat="1" applyFont="1"/>
    <xf numFmtId="175" fontId="0" fillId="0" borderId="0" xfId="0" applyNumberFormat="1"/>
    <xf numFmtId="174" fontId="4" fillId="0" borderId="21" xfId="0" applyNumberFormat="1" applyFont="1" applyBorder="1"/>
    <xf numFmtId="37" fontId="1" fillId="0" borderId="8" xfId="0" applyNumberFormat="1" applyFont="1" applyBorder="1"/>
    <xf numFmtId="37" fontId="1" fillId="0" borderId="11" xfId="0" applyNumberFormat="1" applyFont="1" applyBorder="1"/>
    <xf numFmtId="37" fontId="0" fillId="0" borderId="8" xfId="0" applyNumberFormat="1" applyBorder="1"/>
    <xf numFmtId="37" fontId="0" fillId="0" borderId="11" xfId="0" applyNumberFormat="1" applyBorder="1"/>
    <xf numFmtId="39" fontId="0" fillId="0" borderId="8" xfId="0" applyNumberFormat="1" applyBorder="1"/>
    <xf numFmtId="39" fontId="0" fillId="0" borderId="11" xfId="0" applyNumberFormat="1" applyBorder="1"/>
    <xf numFmtId="175" fontId="0" fillId="0" borderId="8" xfId="0" applyNumberFormat="1" applyBorder="1"/>
    <xf numFmtId="175" fontId="0" fillId="0" borderId="11" xfId="0" applyNumberFormat="1" applyBorder="1"/>
    <xf numFmtId="175" fontId="5" fillId="0" borderId="8" xfId="0" applyNumberFormat="1" applyFont="1" applyBorder="1"/>
    <xf numFmtId="176" fontId="0" fillId="0" borderId="12" xfId="0" applyNumberFormat="1" applyBorder="1"/>
    <xf numFmtId="176" fontId="0" fillId="0" borderId="1" xfId="0" applyNumberFormat="1" applyBorder="1"/>
    <xf numFmtId="176" fontId="0" fillId="0" borderId="13" xfId="0" applyNumberFormat="1" applyBorder="1"/>
    <xf numFmtId="39" fontId="19" fillId="0" borderId="8" xfId="0" applyNumberFormat="1" applyFont="1" applyBorder="1" applyAlignment="1">
      <alignment horizontal="right"/>
    </xf>
    <xf numFmtId="178" fontId="8" fillId="0" borderId="8" xfId="0" applyNumberFormat="1" applyFont="1" applyBorder="1"/>
    <xf numFmtId="39" fontId="19" fillId="0" borderId="0" xfId="0" applyNumberFormat="1" applyFont="1" applyAlignment="1">
      <alignment horizontal="right"/>
    </xf>
    <xf numFmtId="9" fontId="19" fillId="0" borderId="0" xfId="0" applyNumberFormat="1" applyFont="1" applyAlignment="1">
      <alignment horizontal="centerContinuous"/>
    </xf>
    <xf numFmtId="177" fontId="8" fillId="0" borderId="0" xfId="0" applyNumberFormat="1" applyFont="1" applyAlignment="1">
      <alignment horizontal="centerContinuous"/>
    </xf>
    <xf numFmtId="177" fontId="19" fillId="0" borderId="0" xfId="0" applyNumberFormat="1" applyFont="1" applyAlignment="1">
      <alignment horizontal="centerContinuous"/>
    </xf>
    <xf numFmtId="173" fontId="19" fillId="0" borderId="7" xfId="0" applyNumberFormat="1" applyFont="1" applyBorder="1"/>
    <xf numFmtId="173" fontId="8" fillId="0" borderId="7" xfId="0" applyNumberFormat="1" applyFont="1" applyBorder="1"/>
    <xf numFmtId="167" fontId="20" fillId="0" borderId="15" xfId="0" applyNumberFormat="1" applyFont="1" applyBorder="1"/>
    <xf numFmtId="167" fontId="16" fillId="0" borderId="8" xfId="0" applyNumberFormat="1" applyFont="1" applyBorder="1"/>
    <xf numFmtId="173" fontId="8" fillId="0" borderId="8" xfId="0" applyNumberFormat="1" applyFont="1" applyBorder="1"/>
    <xf numFmtId="173" fontId="19" fillId="0" borderId="8" xfId="0" applyNumberFormat="1" applyFont="1" applyBorder="1" applyAlignment="1">
      <alignment horizontal="right"/>
    </xf>
    <xf numFmtId="0" fontId="18" fillId="0" borderId="8" xfId="0" applyFont="1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15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11" xfId="0" applyFont="1" applyBorder="1" applyAlignment="1">
      <alignment horizontal="centerContinuous"/>
    </xf>
    <xf numFmtId="177" fontId="19" fillId="0" borderId="11" xfId="0" applyNumberFormat="1" applyFont="1" applyBorder="1" applyAlignment="1">
      <alignment horizontal="centerContinuous"/>
    </xf>
    <xf numFmtId="0" fontId="5" fillId="0" borderId="8" xfId="0" applyFont="1" applyBorder="1" applyAlignment="1">
      <alignment horizontal="right" vertical="center" wrapText="1"/>
    </xf>
    <xf numFmtId="173" fontId="19" fillId="0" borderId="10" xfId="0" applyNumberFormat="1" applyFont="1" applyBorder="1"/>
    <xf numFmtId="0" fontId="1" fillId="0" borderId="8" xfId="0" applyFont="1" applyBorder="1" applyAlignment="1">
      <alignment horizontal="right" vertical="center" wrapText="1"/>
    </xf>
    <xf numFmtId="167" fontId="16" fillId="0" borderId="0" xfId="0" applyNumberFormat="1" applyFont="1"/>
    <xf numFmtId="39" fontId="19" fillId="0" borderId="12" xfId="0" applyNumberFormat="1" applyFont="1" applyBorder="1" applyAlignment="1">
      <alignment horizontal="right"/>
    </xf>
    <xf numFmtId="167" fontId="2" fillId="0" borderId="12" xfId="0" applyNumberFormat="1" applyFont="1" applyBorder="1"/>
    <xf numFmtId="173" fontId="19" fillId="0" borderId="12" xfId="0" applyNumberFormat="1" applyFont="1" applyBorder="1" applyAlignment="1">
      <alignment horizontal="right"/>
    </xf>
    <xf numFmtId="0" fontId="1" fillId="0" borderId="25" xfId="0" applyFont="1" applyBorder="1" applyAlignment="1">
      <alignment horizontal="center"/>
    </xf>
    <xf numFmtId="174" fontId="16" fillId="0" borderId="19" xfId="0" applyNumberFormat="1" applyFon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37" fontId="0" fillId="0" borderId="19" xfId="0" applyNumberFormat="1" applyBorder="1" applyAlignment="1">
      <alignment horizontal="center"/>
    </xf>
    <xf numFmtId="172" fontId="0" fillId="0" borderId="19" xfId="0" applyNumberFormat="1" applyBorder="1" applyAlignment="1">
      <alignment horizontal="center"/>
    </xf>
    <xf numFmtId="167" fontId="0" fillId="0" borderId="19" xfId="0" applyNumberFormat="1" applyBorder="1" applyAlignment="1">
      <alignment horizontal="center"/>
    </xf>
    <xf numFmtId="0" fontId="5" fillId="0" borderId="19" xfId="0" applyFont="1" applyBorder="1" applyAlignment="1">
      <alignment horizontal="center"/>
    </xf>
    <xf numFmtId="37" fontId="1" fillId="0" borderId="19" xfId="0" applyNumberFormat="1" applyFont="1" applyBorder="1" applyAlignment="1">
      <alignment horizontal="center"/>
    </xf>
    <xf numFmtId="176" fontId="0" fillId="0" borderId="20" xfId="0" applyNumberForma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5" fillId="0" borderId="6" xfId="0" applyFont="1" applyBorder="1" applyAlignment="1">
      <alignment horizontal="left" indent="1"/>
    </xf>
    <xf numFmtId="0" fontId="1" fillId="0" borderId="6" xfId="0" applyFont="1" applyBorder="1" applyAlignment="1">
      <alignment horizontal="left"/>
    </xf>
    <xf numFmtId="0" fontId="5" fillId="0" borderId="5" xfId="0" applyFont="1" applyBorder="1" applyAlignment="1">
      <alignment horizontal="left" indent="1"/>
    </xf>
    <xf numFmtId="0" fontId="21" fillId="3" borderId="9" xfId="0" applyFont="1" applyFill="1" applyBorder="1"/>
    <xf numFmtId="0" fontId="6" fillId="0" borderId="8" xfId="0" applyFont="1" applyBorder="1" applyAlignment="1">
      <alignment horizontal="centerContinuous"/>
    </xf>
    <xf numFmtId="0" fontId="6" fillId="0" borderId="0" xfId="0" applyFont="1" applyAlignment="1">
      <alignment horizontal="centerContinuous"/>
    </xf>
    <xf numFmtId="0" fontId="2" fillId="0" borderId="11" xfId="0" applyFont="1" applyBorder="1" applyAlignment="1">
      <alignment horizontal="centerContinuous"/>
    </xf>
    <xf numFmtId="167" fontId="20" fillId="0" borderId="8" xfId="0" applyNumberFormat="1" applyFont="1" applyBorder="1"/>
    <xf numFmtId="167" fontId="11" fillId="0" borderId="1" xfId="0" applyNumberFormat="1" applyFont="1" applyBorder="1"/>
    <xf numFmtId="167" fontId="6" fillId="0" borderId="13" xfId="0" applyNumberFormat="1" applyFont="1" applyBorder="1"/>
    <xf numFmtId="167" fontId="11" fillId="0" borderId="6" xfId="0" applyNumberFormat="1" applyFont="1" applyBorder="1"/>
    <xf numFmtId="167" fontId="6" fillId="0" borderId="6" xfId="0" applyNumberFormat="1" applyFont="1" applyBorder="1"/>
    <xf numFmtId="167" fontId="9" fillId="3" borderId="0" xfId="0" applyNumberFormat="1" applyFont="1" applyFill="1" applyAlignment="1">
      <alignment horizontal="centerContinuous"/>
    </xf>
    <xf numFmtId="0" fontId="6" fillId="0" borderId="11" xfId="0" applyFont="1" applyBorder="1" applyAlignment="1">
      <alignment horizontal="centerContinuous"/>
    </xf>
    <xf numFmtId="167" fontId="11" fillId="0" borderId="6" xfId="0" applyNumberFormat="1" applyFont="1" applyBorder="1" applyAlignment="1">
      <alignment horizontal="right" indent="1"/>
    </xf>
    <xf numFmtId="167" fontId="6" fillId="0" borderId="6" xfId="0" applyNumberFormat="1" applyFont="1" applyBorder="1" applyAlignment="1">
      <alignment horizontal="right" indent="1"/>
    </xf>
    <xf numFmtId="2" fontId="0" fillId="0" borderId="1" xfId="0" applyNumberFormat="1" applyBorder="1" applyAlignment="1">
      <alignment horizontal="centerContinuous"/>
    </xf>
    <xf numFmtId="179" fontId="0" fillId="0" borderId="0" xfId="0" applyNumberFormat="1" applyAlignment="1">
      <alignment horizontal="centerContinuous"/>
    </xf>
    <xf numFmtId="167" fontId="0" fillId="0" borderId="0" xfId="0" applyNumberFormat="1" applyAlignment="1">
      <alignment horizontal="centerContinuous"/>
    </xf>
    <xf numFmtId="167" fontId="4" fillId="0" borderId="0" xfId="0" applyNumberFormat="1" applyFont="1" applyAlignment="1">
      <alignment horizontal="centerContinuous"/>
    </xf>
    <xf numFmtId="179" fontId="4" fillId="0" borderId="0" xfId="0" applyNumberFormat="1" applyFont="1" applyAlignment="1">
      <alignment horizontal="centerContinuous"/>
    </xf>
    <xf numFmtId="0" fontId="0" fillId="0" borderId="1" xfId="0" applyFill="1" applyBorder="1"/>
    <xf numFmtId="0" fontId="1" fillId="0" borderId="0" xfId="0" applyFont="1" applyFill="1" applyBorder="1"/>
    <xf numFmtId="0" fontId="0" fillId="0" borderId="1" xfId="0" applyFont="1" applyBorder="1"/>
    <xf numFmtId="0" fontId="0" fillId="0" borderId="0" xfId="0" applyFont="1" applyFill="1" applyBorder="1"/>
    <xf numFmtId="0" fontId="2" fillId="3" borderId="7" xfId="0" applyFont="1" applyFill="1" applyBorder="1"/>
    <xf numFmtId="167" fontId="9" fillId="0" borderId="17" xfId="0" applyNumberFormat="1" applyFont="1" applyBorder="1"/>
    <xf numFmtId="166" fontId="14" fillId="0" borderId="17" xfId="0" applyNumberFormat="1" applyFont="1" applyBorder="1"/>
    <xf numFmtId="0" fontId="6" fillId="0" borderId="15" xfId="0" applyFont="1" applyBorder="1"/>
    <xf numFmtId="180" fontId="14" fillId="0" borderId="11" xfId="0" applyNumberFormat="1" applyFont="1" applyBorder="1"/>
    <xf numFmtId="0" fontId="3" fillId="0" borderId="8" xfId="0" applyFont="1" applyBorder="1"/>
    <xf numFmtId="181" fontId="3" fillId="0" borderId="11" xfId="0" applyNumberFormat="1" applyFont="1" applyBorder="1"/>
    <xf numFmtId="180" fontId="3" fillId="0" borderId="13" xfId="0" applyNumberFormat="1" applyFont="1" applyBorder="1"/>
    <xf numFmtId="181" fontId="3" fillId="0" borderId="13" xfId="0" applyNumberFormat="1" applyFont="1" applyBorder="1"/>
    <xf numFmtId="0" fontId="3" fillId="0" borderId="0" xfId="0" applyFont="1" applyBorder="1"/>
    <xf numFmtId="0" fontId="2" fillId="0" borderId="0" xfId="0" applyFont="1" applyBorder="1"/>
    <xf numFmtId="0" fontId="3" fillId="0" borderId="0" xfId="0" applyFont="1" applyFill="1" applyBorder="1"/>
    <xf numFmtId="0" fontId="0" fillId="3" borderId="0" xfId="0" applyFill="1"/>
    <xf numFmtId="0" fontId="0" fillId="0" borderId="0" xfId="0" applyBorder="1"/>
    <xf numFmtId="187" fontId="2" fillId="0" borderId="11" xfId="0" applyNumberFormat="1" applyFont="1" applyBorder="1"/>
    <xf numFmtId="187" fontId="4" fillId="0" borderId="0" xfId="0" applyNumberFormat="1" applyFont="1"/>
    <xf numFmtId="187" fontId="0" fillId="0" borderId="0" xfId="0" applyNumberFormat="1"/>
    <xf numFmtId="166" fontId="14" fillId="0" borderId="0" xfId="0" applyNumberFormat="1" applyFont="1" applyBorder="1"/>
    <xf numFmtId="166" fontId="14" fillId="0" borderId="8" xfId="0" applyNumberFormat="1" applyFont="1" applyBorder="1"/>
    <xf numFmtId="166" fontId="14" fillId="0" borderId="6" xfId="0" applyNumberFormat="1" applyFont="1" applyBorder="1"/>
    <xf numFmtId="166" fontId="2" fillId="0" borderId="0" xfId="0" applyNumberFormat="1" applyFont="1" applyBorder="1"/>
    <xf numFmtId="166" fontId="9" fillId="0" borderId="0" xfId="0" applyNumberFormat="1" applyFont="1" applyBorder="1"/>
    <xf numFmtId="168" fontId="0" fillId="0" borderId="0" xfId="0" applyNumberFormat="1"/>
    <xf numFmtId="10" fontId="25" fillId="3" borderId="0" xfId="0" applyNumberFormat="1" applyFont="1" applyFill="1" applyBorder="1" applyAlignment="1">
      <alignment horizontal="centerContinuous"/>
    </xf>
    <xf numFmtId="2" fontId="1" fillId="0" borderId="1" xfId="0" applyNumberFormat="1" applyFont="1" applyBorder="1" applyAlignment="1">
      <alignment horizontal="centerContinuous"/>
    </xf>
    <xf numFmtId="0" fontId="2" fillId="3" borderId="0" xfId="0" applyFont="1" applyFill="1"/>
    <xf numFmtId="0" fontId="26" fillId="4" borderId="15" xfId="0" applyFont="1" applyFill="1" applyBorder="1"/>
    <xf numFmtId="0" fontId="20" fillId="4" borderId="16" xfId="0" applyFont="1" applyFill="1" applyBorder="1"/>
    <xf numFmtId="0" fontId="20" fillId="4" borderId="17" xfId="0" applyFont="1" applyFill="1" applyBorder="1"/>
    <xf numFmtId="0" fontId="27" fillId="4" borderId="12" xfId="0" applyFont="1" applyFill="1" applyBorder="1"/>
    <xf numFmtId="0" fontId="20" fillId="4" borderId="1" xfId="0" applyFont="1" applyFill="1" applyBorder="1"/>
    <xf numFmtId="0" fontId="20" fillId="4" borderId="13" xfId="0" applyFont="1" applyFill="1" applyBorder="1"/>
    <xf numFmtId="14" fontId="25" fillId="3" borderId="0" xfId="0" applyNumberFormat="1" applyFont="1" applyFill="1" applyBorder="1" applyAlignment="1">
      <alignment horizontal="centerContinuous"/>
    </xf>
    <xf numFmtId="14" fontId="6" fillId="3" borderId="0" xfId="0" applyNumberFormat="1" applyFont="1" applyFill="1" applyBorder="1" applyAlignment="1">
      <alignment horizontal="centerContinuous"/>
    </xf>
    <xf numFmtId="189" fontId="25" fillId="3" borderId="0" xfId="0" applyNumberFormat="1" applyFont="1" applyFill="1" applyBorder="1" applyAlignment="1">
      <alignment horizontal="centerContinuous"/>
    </xf>
    <xf numFmtId="10" fontId="6" fillId="3" borderId="0" xfId="0" applyNumberFormat="1" applyFont="1" applyFill="1" applyBorder="1" applyAlignment="1">
      <alignment horizontal="centerContinuous"/>
    </xf>
    <xf numFmtId="0" fontId="1" fillId="3" borderId="16" xfId="0" applyFont="1" applyFill="1" applyBorder="1"/>
    <xf numFmtId="164" fontId="1" fillId="3" borderId="16" xfId="0" applyNumberFormat="1" applyFont="1" applyFill="1" applyBorder="1"/>
    <xf numFmtId="165" fontId="1" fillId="3" borderId="16" xfId="0" applyNumberFormat="1" applyFont="1" applyFill="1" applyBorder="1"/>
    <xf numFmtId="0" fontId="1" fillId="3" borderId="1" xfId="0" applyFont="1" applyFill="1" applyBorder="1"/>
    <xf numFmtId="14" fontId="1" fillId="3" borderId="1" xfId="0" applyNumberFormat="1" applyFont="1" applyFill="1" applyBorder="1"/>
    <xf numFmtId="164" fontId="1" fillId="3" borderId="16" xfId="0" applyNumberFormat="1" applyFont="1" applyFill="1" applyBorder="1" applyAlignment="1">
      <alignment horizontal="right"/>
    </xf>
    <xf numFmtId="190" fontId="1" fillId="3" borderId="16" xfId="0" applyNumberFormat="1" applyFont="1" applyFill="1" applyBorder="1"/>
    <xf numFmtId="0" fontId="28" fillId="4" borderId="9" xfId="0" applyFont="1" applyFill="1" applyBorder="1"/>
    <xf numFmtId="0" fontId="28" fillId="4" borderId="10" xfId="0" applyFont="1" applyFill="1" applyBorder="1"/>
    <xf numFmtId="0" fontId="20" fillId="4" borderId="10" xfId="0" applyFont="1" applyFill="1" applyBorder="1"/>
    <xf numFmtId="0" fontId="20" fillId="4" borderId="7" xfId="0" applyFont="1" applyFill="1" applyBorder="1"/>
    <xf numFmtId="0" fontId="28" fillId="4" borderId="15" xfId="0" applyFont="1" applyFill="1" applyBorder="1"/>
    <xf numFmtId="0" fontId="23" fillId="4" borderId="9" xfId="0" applyFont="1" applyFill="1" applyBorder="1"/>
    <xf numFmtId="0" fontId="24" fillId="4" borderId="7" xfId="0" applyFont="1" applyFill="1" applyBorder="1"/>
    <xf numFmtId="0" fontId="24" fillId="4" borderId="10" xfId="0" applyFont="1" applyFill="1" applyBorder="1"/>
    <xf numFmtId="0" fontId="6" fillId="3" borderId="9" xfId="0" applyFont="1" applyFill="1" applyBorder="1"/>
    <xf numFmtId="172" fontId="1" fillId="3" borderId="7" xfId="0" applyNumberFormat="1" applyFont="1" applyFill="1" applyBorder="1"/>
    <xf numFmtId="0" fontId="0" fillId="0" borderId="15" xfId="0" applyBorder="1"/>
    <xf numFmtId="0" fontId="6" fillId="0" borderId="13" xfId="0" applyFont="1" applyBorder="1" applyAlignment="1">
      <alignment horizontal="centerContinuous"/>
    </xf>
    <xf numFmtId="166" fontId="0" fillId="0" borderId="0" xfId="0" applyNumberFormat="1" applyBorder="1"/>
    <xf numFmtId="166" fontId="22" fillId="0" borderId="0" xfId="0" applyNumberFormat="1" applyFont="1" applyBorder="1"/>
    <xf numFmtId="166" fontId="22" fillId="0" borderId="11" xfId="0" applyNumberFormat="1" applyFont="1" applyBorder="1"/>
    <xf numFmtId="166" fontId="10" fillId="0" borderId="0" xfId="0" applyNumberFormat="1" applyFont="1" applyBorder="1"/>
    <xf numFmtId="172" fontId="1" fillId="3" borderId="10" xfId="0" applyNumberFormat="1" applyFont="1" applyFill="1" applyBorder="1"/>
    <xf numFmtId="167" fontId="0" fillId="0" borderId="1" xfId="0" applyNumberFormat="1" applyBorder="1"/>
    <xf numFmtId="167" fontId="0" fillId="0" borderId="13" xfId="0" applyNumberFormat="1" applyBorder="1"/>
    <xf numFmtId="0" fontId="6" fillId="3" borderId="8" xfId="0" applyFont="1" applyFill="1" applyBorder="1"/>
    <xf numFmtId="166" fontId="6" fillId="3" borderId="11" xfId="0" applyNumberFormat="1" applyFont="1" applyFill="1" applyBorder="1"/>
    <xf numFmtId="0" fontId="6" fillId="3" borderId="12" xfId="0" applyFont="1" applyFill="1" applyBorder="1"/>
    <xf numFmtId="0" fontId="2" fillId="3" borderId="1" xfId="0" applyFont="1" applyFill="1" applyBorder="1"/>
    <xf numFmtId="166" fontId="6" fillId="3" borderId="13" xfId="0" applyNumberFormat="1" applyFont="1" applyFill="1" applyBorder="1"/>
    <xf numFmtId="0" fontId="23" fillId="4" borderId="15" xfId="0" applyFont="1" applyFill="1" applyBorder="1"/>
    <xf numFmtId="0" fontId="24" fillId="4" borderId="16" xfId="0" applyFont="1" applyFill="1" applyBorder="1"/>
    <xf numFmtId="0" fontId="24" fillId="4" borderId="17" xfId="0" applyFont="1" applyFill="1" applyBorder="1"/>
    <xf numFmtId="168" fontId="6" fillId="3" borderId="10" xfId="0" applyNumberFormat="1" applyFont="1" applyFill="1" applyBorder="1"/>
    <xf numFmtId="0" fontId="6" fillId="3" borderId="0" xfId="0" applyFont="1" applyFill="1"/>
    <xf numFmtId="167" fontId="6" fillId="3" borderId="10" xfId="0" applyNumberFormat="1" applyFont="1" applyFill="1" applyBorder="1"/>
    <xf numFmtId="167" fontId="21" fillId="3" borderId="10" xfId="0" applyNumberFormat="1" applyFont="1" applyFill="1" applyBorder="1"/>
    <xf numFmtId="167" fontId="9" fillId="0" borderId="11" xfId="0" applyNumberFormat="1" applyFont="1" applyBorder="1"/>
    <xf numFmtId="167" fontId="9" fillId="0" borderId="13" xfId="0" applyNumberFormat="1" applyFont="1" applyBorder="1"/>
    <xf numFmtId="167" fontId="22" fillId="0" borderId="11" xfId="0" applyNumberFormat="1" applyFont="1" applyBorder="1"/>
    <xf numFmtId="168" fontId="22" fillId="0" borderId="13" xfId="0" applyNumberFormat="1" applyFont="1" applyBorder="1"/>
    <xf numFmtId="0" fontId="2" fillId="0" borderId="16" xfId="0" applyFont="1" applyBorder="1" applyAlignment="1">
      <alignment horizontal="centerContinuous"/>
    </xf>
    <xf numFmtId="0" fontId="2" fillId="0" borderId="12" xfId="0" applyFont="1" applyBorder="1" applyAlignment="1">
      <alignment horizontal="centerContinuous"/>
    </xf>
    <xf numFmtId="167" fontId="9" fillId="0" borderId="0" xfId="0" applyNumberFormat="1" applyFont="1" applyBorder="1"/>
    <xf numFmtId="0" fontId="9" fillId="0" borderId="0" xfId="0" applyFont="1" applyBorder="1"/>
    <xf numFmtId="168" fontId="2" fillId="0" borderId="11" xfId="0" applyNumberFormat="1" applyFont="1" applyBorder="1"/>
    <xf numFmtId="166" fontId="7" fillId="0" borderId="0" xfId="0" applyNumberFormat="1" applyFont="1" applyBorder="1"/>
    <xf numFmtId="166" fontId="1" fillId="0" borderId="0" xfId="0" applyNumberFormat="1" applyFont="1" applyBorder="1"/>
    <xf numFmtId="0" fontId="1" fillId="0" borderId="0" xfId="0" applyFont="1" applyBorder="1"/>
    <xf numFmtId="0" fontId="5" fillId="0" borderId="0" xfId="0" applyFont="1" applyBorder="1"/>
    <xf numFmtId="166" fontId="5" fillId="0" borderId="0" xfId="0" applyNumberFormat="1" applyFont="1" applyBorder="1"/>
    <xf numFmtId="166" fontId="4" fillId="0" borderId="0" xfId="0" applyNumberFormat="1" applyFont="1" applyBorder="1"/>
    <xf numFmtId="0" fontId="1" fillId="3" borderId="0" xfId="0" applyFont="1" applyFill="1" applyBorder="1"/>
    <xf numFmtId="164" fontId="1" fillId="3" borderId="0" xfId="0" applyNumberFormat="1" applyFont="1" applyFill="1"/>
    <xf numFmtId="165" fontId="1" fillId="3" borderId="0" xfId="0" applyNumberFormat="1" applyFont="1" applyFill="1"/>
    <xf numFmtId="165" fontId="1" fillId="3" borderId="7" xfId="0" applyNumberFormat="1" applyFont="1" applyFill="1" applyBorder="1" applyAlignment="1">
      <alignment horizontal="centerContinuous"/>
    </xf>
    <xf numFmtId="165" fontId="1" fillId="3" borderId="0" xfId="0" applyNumberFormat="1" applyFont="1" applyFill="1" applyBorder="1" applyAlignment="1">
      <alignment horizontal="right"/>
    </xf>
    <xf numFmtId="14" fontId="1" fillId="3" borderId="1" xfId="0" applyNumberFormat="1" applyFont="1" applyFill="1" applyBorder="1" applyAlignment="1">
      <alignment horizontal="centerContinuous"/>
    </xf>
    <xf numFmtId="0" fontId="1" fillId="3" borderId="8" xfId="0" applyFont="1" applyFill="1" applyBorder="1"/>
    <xf numFmtId="166" fontId="1" fillId="3" borderId="11" xfId="0" applyNumberFormat="1" applyFont="1" applyFill="1" applyBorder="1"/>
    <xf numFmtId="166" fontId="1" fillId="3" borderId="0" xfId="0" applyNumberFormat="1" applyFont="1" applyFill="1"/>
    <xf numFmtId="0" fontId="1" fillId="3" borderId="0" xfId="0" applyFont="1" applyFill="1"/>
    <xf numFmtId="0" fontId="6" fillId="3" borderId="0" xfId="0" applyFont="1" applyFill="1" applyBorder="1" applyAlignment="1">
      <alignment horizontal="centerContinuous"/>
    </xf>
    <xf numFmtId="14" fontId="11" fillId="3" borderId="0" xfId="0" applyNumberFormat="1" applyFont="1" applyFill="1" applyBorder="1" applyAlignment="1">
      <alignment horizontal="centerContinuous"/>
    </xf>
    <xf numFmtId="4" fontId="11" fillId="3" borderId="0" xfId="0" applyNumberFormat="1" applyFont="1" applyFill="1" applyBorder="1" applyAlignment="1">
      <alignment horizontal="centerContinuous"/>
    </xf>
    <xf numFmtId="0" fontId="0" fillId="0" borderId="0" xfId="0" applyFill="1"/>
    <xf numFmtId="170" fontId="8" fillId="2" borderId="4" xfId="0" applyNumberFormat="1" applyFont="1" applyFill="1" applyBorder="1" applyAlignment="1">
      <alignment horizontal="centerContinuous"/>
    </xf>
    <xf numFmtId="166" fontId="0" fillId="3" borderId="0" xfId="0" applyNumberFormat="1" applyFill="1"/>
    <xf numFmtId="0" fontId="24" fillId="4" borderId="13" xfId="0" applyFont="1" applyFill="1" applyBorder="1"/>
    <xf numFmtId="0" fontId="27" fillId="4" borderId="7" xfId="0" applyFont="1" applyFill="1" applyBorder="1"/>
    <xf numFmtId="0" fontId="6" fillId="0" borderId="11" xfId="0" applyFont="1" applyBorder="1" applyAlignment="1">
      <alignment horizontal="right"/>
    </xf>
    <xf numFmtId="14" fontId="6" fillId="0" borderId="11" xfId="0" applyNumberFormat="1" applyFont="1" applyBorder="1"/>
    <xf numFmtId="189" fontId="6" fillId="0" borderId="11" xfId="0" applyNumberFormat="1" applyFont="1" applyBorder="1"/>
    <xf numFmtId="166" fontId="6" fillId="3" borderId="0" xfId="0" applyNumberFormat="1" applyFont="1" applyFill="1"/>
    <xf numFmtId="167" fontId="2" fillId="3" borderId="1" xfId="0" applyNumberFormat="1" applyFont="1" applyFill="1" applyBorder="1"/>
    <xf numFmtId="166" fontId="6" fillId="3" borderId="1" xfId="0" applyNumberFormat="1" applyFont="1" applyFill="1" applyBorder="1"/>
    <xf numFmtId="0" fontId="2" fillId="3" borderId="13" xfId="0" applyFont="1" applyFill="1" applyBorder="1"/>
    <xf numFmtId="171" fontId="6" fillId="2" borderId="3" xfId="0" applyNumberFormat="1" applyFont="1" applyFill="1" applyBorder="1" applyAlignment="1">
      <alignment horizontal="centerContinuous"/>
    </xf>
    <xf numFmtId="0" fontId="2" fillId="3" borderId="1" xfId="0" applyFont="1" applyFill="1" applyBorder="1" applyAlignment="1">
      <alignment horizontal="centerContinuous"/>
    </xf>
    <xf numFmtId="0" fontId="2" fillId="3" borderId="13" xfId="0" applyFont="1" applyFill="1" applyBorder="1" applyAlignment="1">
      <alignment horizontal="centerContinuous"/>
    </xf>
    <xf numFmtId="0" fontId="2" fillId="3" borderId="9" xfId="0" applyFont="1" applyFill="1" applyBorder="1"/>
    <xf numFmtId="0" fontId="6" fillId="3" borderId="7" xfId="0" applyFont="1" applyFill="1" applyBorder="1"/>
    <xf numFmtId="0" fontId="6" fillId="3" borderId="10" xfId="0" applyFont="1" applyFill="1" applyBorder="1"/>
    <xf numFmtId="173" fontId="11" fillId="2" borderId="3" xfId="0" applyNumberFormat="1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0" fontId="6" fillId="3" borderId="9" xfId="0" applyFont="1" applyFill="1" applyBorder="1" applyAlignment="1">
      <alignment horizontal="centerContinuous"/>
    </xf>
    <xf numFmtId="0" fontId="6" fillId="3" borderId="7" xfId="0" applyFont="1" applyFill="1" applyBorder="1" applyAlignment="1">
      <alignment horizontal="centerContinuous"/>
    </xf>
    <xf numFmtId="0" fontId="6" fillId="3" borderId="10" xfId="0" applyFont="1" applyFill="1" applyBorder="1" applyAlignment="1">
      <alignment horizontal="centerContinuous"/>
    </xf>
    <xf numFmtId="0" fontId="6" fillId="3" borderId="1" xfId="0" applyFont="1" applyFill="1" applyBorder="1" applyAlignment="1">
      <alignment horizontal="centerContinuous"/>
    </xf>
    <xf numFmtId="0" fontId="29" fillId="0" borderId="0" xfId="0" applyFont="1" applyAlignment="1">
      <alignment horizontal="centerContinuous"/>
    </xf>
    <xf numFmtId="0" fontId="6" fillId="0" borderId="8" xfId="0" applyFont="1" applyFill="1" applyBorder="1"/>
    <xf numFmtId="166" fontId="6" fillId="0" borderId="6" xfId="0" applyNumberFormat="1" applyFont="1" applyFill="1" applyBorder="1"/>
    <xf numFmtId="166" fontId="6" fillId="0" borderId="0" xfId="0" applyNumberFormat="1" applyFont="1" applyFill="1"/>
    <xf numFmtId="166" fontId="6" fillId="0" borderId="11" xfId="0" applyNumberFormat="1" applyFont="1" applyFill="1" applyBorder="1"/>
    <xf numFmtId="172" fontId="6" fillId="0" borderId="6" xfId="0" applyNumberFormat="1" applyFont="1" applyFill="1" applyBorder="1"/>
    <xf numFmtId="172" fontId="6" fillId="0" borderId="0" xfId="0" applyNumberFormat="1" applyFont="1" applyFill="1"/>
    <xf numFmtId="0" fontId="2" fillId="3" borderId="12" xfId="0" applyFont="1" applyFill="1" applyBorder="1"/>
    <xf numFmtId="2" fontId="6" fillId="3" borderId="1" xfId="0" applyNumberFormat="1" applyFont="1" applyFill="1" applyBorder="1" applyAlignment="1">
      <alignment horizontal="centerContinuous"/>
    </xf>
    <xf numFmtId="0" fontId="6" fillId="3" borderId="1" xfId="0" applyFont="1" applyFill="1" applyBorder="1" applyAlignment="1">
      <alignment horizontal="right"/>
    </xf>
    <xf numFmtId="165" fontId="6" fillId="3" borderId="1" xfId="0" applyNumberFormat="1" applyFont="1" applyFill="1" applyBorder="1"/>
    <xf numFmtId="165" fontId="6" fillId="3" borderId="13" xfId="0" applyNumberFormat="1" applyFont="1" applyFill="1" applyBorder="1"/>
    <xf numFmtId="0" fontId="6" fillId="3" borderId="1" xfId="0" applyFont="1" applyFill="1" applyBorder="1"/>
    <xf numFmtId="0" fontId="6" fillId="3" borderId="13" xfId="0" applyFont="1" applyFill="1" applyBorder="1"/>
    <xf numFmtId="166" fontId="6" fillId="3" borderId="1" xfId="0" applyNumberFormat="1" applyFont="1" applyFill="1" applyBorder="1" applyAlignment="1">
      <alignment horizontal="centerContinuous"/>
    </xf>
    <xf numFmtId="167" fontId="6" fillId="3" borderId="1" xfId="0" applyNumberFormat="1" applyFont="1" applyFill="1" applyBorder="1" applyAlignment="1">
      <alignment horizontal="centerContinuous"/>
    </xf>
    <xf numFmtId="0" fontId="15" fillId="3" borderId="15" xfId="0" applyFont="1" applyFill="1" applyBorder="1" applyAlignment="1">
      <alignment horizontal="centerContinuous"/>
    </xf>
    <xf numFmtId="0" fontId="0" fillId="3" borderId="16" xfId="0" applyFill="1" applyBorder="1" applyAlignment="1">
      <alignment horizontal="centerContinuous"/>
    </xf>
    <xf numFmtId="0" fontId="6" fillId="2" borderId="4" xfId="0" applyFont="1" applyFill="1" applyBorder="1"/>
    <xf numFmtId="167" fontId="11" fillId="2" borderId="5" xfId="0" applyNumberFormat="1" applyFont="1" applyFill="1" applyBorder="1" applyAlignment="1">
      <alignment horizontal="left"/>
    </xf>
    <xf numFmtId="0" fontId="15" fillId="3" borderId="22" xfId="0" applyFont="1" applyFill="1" applyBorder="1" applyAlignment="1">
      <alignment horizontal="centerContinuous"/>
    </xf>
    <xf numFmtId="0" fontId="5" fillId="3" borderId="23" xfId="0" applyFont="1" applyFill="1" applyBorder="1" applyAlignment="1">
      <alignment horizontal="centerContinuous"/>
    </xf>
    <xf numFmtId="174" fontId="17" fillId="3" borderId="23" xfId="0" applyNumberFormat="1" applyFont="1" applyFill="1" applyBorder="1" applyAlignment="1">
      <alignment horizontal="centerContinuous"/>
    </xf>
    <xf numFmtId="0" fontId="5" fillId="3" borderId="24" xfId="0" applyFont="1" applyFill="1" applyBorder="1" applyAlignment="1">
      <alignment horizontal="centerContinuous"/>
    </xf>
    <xf numFmtId="168" fontId="2" fillId="3" borderId="10" xfId="0" applyNumberFormat="1" applyFont="1" applyFill="1" applyBorder="1"/>
    <xf numFmtId="173" fontId="9" fillId="0" borderId="0" xfId="0" applyNumberFormat="1" applyFont="1"/>
    <xf numFmtId="172" fontId="11" fillId="0" borderId="11" xfId="0" applyNumberFormat="1" applyFont="1" applyFill="1" applyBorder="1"/>
    <xf numFmtId="167" fontId="9" fillId="2" borderId="3" xfId="0" applyNumberFormat="1" applyFont="1" applyFill="1" applyBorder="1"/>
    <xf numFmtId="0" fontId="11" fillId="3" borderId="0" xfId="0" applyFont="1" applyFill="1" applyBorder="1" applyAlignment="1">
      <alignment horizontal="centerContinuous"/>
    </xf>
    <xf numFmtId="170" fontId="8" fillId="2" borderId="5" xfId="0" applyNumberFormat="1" applyFont="1" applyFill="1" applyBorder="1" applyAlignment="1">
      <alignment horizontal="centerContinuous"/>
    </xf>
    <xf numFmtId="166" fontId="10" fillId="0" borderId="13" xfId="0" applyNumberFormat="1" applyFont="1" applyBorder="1"/>
    <xf numFmtId="0" fontId="8" fillId="3" borderId="0" xfId="0" applyFont="1" applyFill="1" applyAlignment="1">
      <alignment horizontal="centerContinuous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theme="0"/>
      </font>
    </dxf>
    <dxf>
      <fill>
        <patternFill>
          <bgColor theme="0" tint="-0.14996795556505021"/>
        </patternFill>
      </fill>
    </dxf>
    <dxf>
      <font>
        <color theme="0" tint="-0.14996795556505021"/>
      </font>
    </dxf>
    <dxf>
      <font>
        <color theme="0"/>
      </font>
    </dxf>
    <dxf>
      <fill>
        <patternFill>
          <bgColor theme="0" tint="-0.14996795556505021"/>
        </patternFill>
      </fill>
    </dxf>
    <dxf>
      <font>
        <color theme="0" tint="-0.1499679555650502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866775</xdr:colOff>
      <xdr:row>20</xdr:row>
      <xdr:rowOff>139803</xdr:rowOff>
    </xdr:from>
    <xdr:to>
      <xdr:col>5</xdr:col>
      <xdr:colOff>1000125</xdr:colOff>
      <xdr:row>24</xdr:row>
      <xdr:rowOff>120753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40D45F-D735-40B2-B1A0-C037D724E927}"/>
            </a:ext>
          </a:extLst>
        </xdr:cNvPr>
        <xdr:cNvSpPr txBox="1"/>
      </xdr:nvSpPr>
      <xdr:spPr>
        <a:xfrm>
          <a:off x="6267450" y="3978378"/>
          <a:ext cx="1009650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Debt to total</a:t>
          </a:r>
          <a:r>
            <a:rPr lang="en-CA" sz="11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Capitalization</a:t>
          </a:r>
          <a:endParaRPr lang="en-CA" sz="11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28574</xdr:colOff>
      <xdr:row>27</xdr:row>
      <xdr:rowOff>142875</xdr:rowOff>
    </xdr:from>
    <xdr:to>
      <xdr:col>5</xdr:col>
      <xdr:colOff>1200149</xdr:colOff>
      <xdr:row>31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FA9194-959F-497E-9F06-C93E84AF111B}"/>
            </a:ext>
          </a:extLst>
        </xdr:cNvPr>
        <xdr:cNvSpPr txBox="1"/>
      </xdr:nvSpPr>
      <xdr:spPr>
        <a:xfrm>
          <a:off x="6305549" y="5695950"/>
          <a:ext cx="1171575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Equity  to total</a:t>
          </a:r>
          <a:r>
            <a:rPr lang="en-CA" sz="11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Capitalization</a:t>
          </a:r>
          <a:endParaRPr lang="en-CA" sz="11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120B-21D3-438B-9BF5-5A3F042CA821}">
  <dimension ref="B1:O137"/>
  <sheetViews>
    <sheetView showGridLines="0" tabSelected="1" workbookViewId="0">
      <selection activeCell="K17" sqref="K17"/>
    </sheetView>
  </sheetViews>
  <sheetFormatPr defaultRowHeight="15" x14ac:dyDescent="0.25"/>
  <cols>
    <col min="1" max="2" width="2.140625" style="1" customWidth="1"/>
    <col min="3" max="3" width="34.28515625" style="1" customWidth="1"/>
    <col min="4" max="12" width="17.42578125" style="1" customWidth="1"/>
    <col min="13" max="16384" width="9.140625" style="1"/>
  </cols>
  <sheetData>
    <row r="1" spans="2:15" x14ac:dyDescent="0.25">
      <c r="C1" s="2"/>
      <c r="D1" s="2"/>
      <c r="E1" s="2"/>
      <c r="F1" s="2"/>
      <c r="G1" s="2"/>
      <c r="H1" s="2"/>
      <c r="I1" s="2"/>
      <c r="J1" s="2"/>
      <c r="K1" s="2"/>
      <c r="L1" s="4"/>
      <c r="M1"/>
      <c r="N1"/>
      <c r="O1"/>
    </row>
    <row r="2" spans="2:15" ht="19.5" x14ac:dyDescent="0.3">
      <c r="C2" s="211" t="s">
        <v>0</v>
      </c>
      <c r="D2" s="212"/>
      <c r="E2" s="212"/>
      <c r="F2" s="212"/>
      <c r="G2" s="212"/>
      <c r="H2" s="212"/>
      <c r="I2" s="212"/>
      <c r="J2" s="212"/>
      <c r="K2" s="212"/>
      <c r="L2" s="254"/>
      <c r="M2"/>
      <c r="N2"/>
      <c r="O2"/>
    </row>
    <row r="3" spans="2:15" x14ac:dyDescent="0.25">
      <c r="C3" s="214" t="s">
        <v>1</v>
      </c>
      <c r="D3" s="215"/>
      <c r="E3" s="215"/>
      <c r="F3" s="215"/>
      <c r="G3" s="215"/>
      <c r="H3" s="215"/>
      <c r="I3" s="215"/>
      <c r="J3" s="215"/>
      <c r="K3" s="215"/>
      <c r="L3" s="290"/>
      <c r="M3"/>
      <c r="N3"/>
      <c r="O3"/>
    </row>
    <row r="4" spans="2:15" x14ac:dyDescent="0.25">
      <c r="L4"/>
      <c r="M4"/>
      <c r="N4"/>
      <c r="O4"/>
    </row>
    <row r="5" spans="2:15" x14ac:dyDescent="0.25">
      <c r="B5" s="1" t="s">
        <v>72</v>
      </c>
      <c r="C5" s="233" t="s">
        <v>143</v>
      </c>
      <c r="D5" s="235"/>
      <c r="E5"/>
      <c r="F5" s="233" t="s">
        <v>168</v>
      </c>
      <c r="G5" s="234"/>
      <c r="H5" s="234"/>
      <c r="I5" s="234"/>
      <c r="J5" s="231"/>
      <c r="K5" s="234"/>
      <c r="L5" s="230"/>
    </row>
    <row r="6" spans="2:15" x14ac:dyDescent="0.25">
      <c r="C6" s="29"/>
      <c r="D6" s="30"/>
    </row>
    <row r="7" spans="2:15" x14ac:dyDescent="0.25">
      <c r="C7" s="29" t="s">
        <v>144</v>
      </c>
      <c r="D7" s="292" t="s">
        <v>197</v>
      </c>
      <c r="F7" s="228" t="s">
        <v>169</v>
      </c>
      <c r="G7" s="291" t="s">
        <v>170</v>
      </c>
      <c r="H7" s="230"/>
      <c r="J7" s="228" t="s">
        <v>171</v>
      </c>
      <c r="K7" s="231"/>
      <c r="L7" s="230"/>
    </row>
    <row r="8" spans="2:15" x14ac:dyDescent="0.25">
      <c r="C8" s="29" t="s">
        <v>145</v>
      </c>
      <c r="D8" s="292" t="s">
        <v>198</v>
      </c>
      <c r="F8" s="29" t="s">
        <v>200</v>
      </c>
      <c r="G8" s="50">
        <f>H8/D12</f>
        <v>0.79533980582524277</v>
      </c>
      <c r="H8" s="36">
        <f>D14-D15</f>
        <v>2048</v>
      </c>
      <c r="J8" s="29" t="s">
        <v>202</v>
      </c>
      <c r="L8" s="36">
        <f>D31</f>
        <v>54198.419305807984</v>
      </c>
    </row>
    <row r="9" spans="2:15" x14ac:dyDescent="0.25">
      <c r="C9" s="29" t="s">
        <v>146</v>
      </c>
      <c r="D9" s="294">
        <v>168.32</v>
      </c>
      <c r="F9" s="29" t="s">
        <v>66</v>
      </c>
      <c r="G9" s="50">
        <v>0</v>
      </c>
      <c r="H9" s="36">
        <f>G9*D12</f>
        <v>0</v>
      </c>
      <c r="J9" s="29" t="s">
        <v>203</v>
      </c>
      <c r="L9" s="36">
        <f>-D13</f>
        <v>1884</v>
      </c>
    </row>
    <row r="10" spans="2:15" x14ac:dyDescent="0.25">
      <c r="C10" s="29" t="s">
        <v>147</v>
      </c>
      <c r="D10" s="293">
        <v>45925</v>
      </c>
      <c r="F10" s="29" t="s">
        <v>207</v>
      </c>
      <c r="G10" s="50">
        <v>7</v>
      </c>
      <c r="H10" s="36">
        <f>G10*D12</f>
        <v>18025</v>
      </c>
      <c r="J10" s="31" t="s">
        <v>204</v>
      </c>
      <c r="K10" s="2"/>
      <c r="L10" s="41">
        <f>J26+J29</f>
        <v>541.36709652903994</v>
      </c>
    </row>
    <row r="11" spans="2:15" x14ac:dyDescent="0.25">
      <c r="C11" s="29"/>
      <c r="D11" s="30"/>
      <c r="F11" s="29" t="s">
        <v>163</v>
      </c>
      <c r="G11" s="50">
        <v>0</v>
      </c>
      <c r="H11" s="36">
        <f>G11*D12</f>
        <v>0</v>
      </c>
      <c r="J11" s="247" t="s">
        <v>209</v>
      </c>
      <c r="K11" s="210"/>
      <c r="L11" s="248">
        <f>SUM(L8:L10)</f>
        <v>56623.78640233702</v>
      </c>
    </row>
    <row r="12" spans="2:15" x14ac:dyDescent="0.25">
      <c r="C12" s="29" t="s">
        <v>148</v>
      </c>
      <c r="D12" s="89">
        <f>Financials!F38</f>
        <v>2575</v>
      </c>
      <c r="F12" s="29" t="s">
        <v>164</v>
      </c>
      <c r="G12" s="50">
        <v>0</v>
      </c>
      <c r="H12" s="36">
        <f>G12*D12</f>
        <v>0</v>
      </c>
      <c r="J12" s="31"/>
      <c r="K12" s="2"/>
      <c r="L12" s="32"/>
    </row>
    <row r="13" spans="2:15" x14ac:dyDescent="0.25">
      <c r="C13" s="29" t="s">
        <v>149</v>
      </c>
      <c r="D13" s="89">
        <f>-Financials!F67</f>
        <v>-1884</v>
      </c>
      <c r="F13" s="29" t="s">
        <v>181</v>
      </c>
      <c r="G13" s="50">
        <v>0</v>
      </c>
      <c r="H13" s="36">
        <f>G13*D12</f>
        <v>0</v>
      </c>
      <c r="J13"/>
      <c r="K13"/>
      <c r="L13"/>
    </row>
    <row r="14" spans="2:15" x14ac:dyDescent="0.25">
      <c r="C14" s="29" t="s">
        <v>124</v>
      </c>
      <c r="D14" s="89">
        <f>Financials!F55</f>
        <v>2248</v>
      </c>
      <c r="F14" s="29" t="s">
        <v>201</v>
      </c>
      <c r="G14" s="50">
        <v>2.0299999999999998</v>
      </c>
      <c r="H14" s="36">
        <f>G14*D12</f>
        <v>5227.2499999999991</v>
      </c>
      <c r="J14"/>
      <c r="K14"/>
      <c r="L14"/>
    </row>
    <row r="15" spans="2:15" x14ac:dyDescent="0.25">
      <c r="C15" s="29" t="s">
        <v>199</v>
      </c>
      <c r="D15" s="70">
        <v>200</v>
      </c>
      <c r="F15" s="31" t="s">
        <v>180</v>
      </c>
      <c r="G15" s="55">
        <f>H15/D12</f>
        <v>12.164480156247386</v>
      </c>
      <c r="H15" s="41">
        <f>L11-SUM(H8:H14)</f>
        <v>31323.53640233702</v>
      </c>
      <c r="J15" s="6"/>
      <c r="K15" s="6"/>
      <c r="L15"/>
    </row>
    <row r="16" spans="2:15" x14ac:dyDescent="0.25">
      <c r="C16" s="31" t="s">
        <v>150</v>
      </c>
      <c r="D16" s="90">
        <v>31.5</v>
      </c>
      <c r="F16" s="249" t="s">
        <v>208</v>
      </c>
      <c r="G16" s="250"/>
      <c r="H16" s="251">
        <f>SUM(H8:H15)</f>
        <v>56623.78640233702</v>
      </c>
      <c r="J16" s="6"/>
      <c r="K16"/>
      <c r="L16"/>
    </row>
    <row r="18" spans="3:15" x14ac:dyDescent="0.25">
      <c r="O18" s="38"/>
    </row>
    <row r="19" spans="3:15" x14ac:dyDescent="0.25">
      <c r="C19" s="233" t="s">
        <v>151</v>
      </c>
      <c r="D19" s="234"/>
      <c r="E19" s="234"/>
      <c r="F19" s="235"/>
      <c r="H19" s="233" t="s">
        <v>158</v>
      </c>
      <c r="I19" s="231"/>
      <c r="J19" s="231"/>
      <c r="K19" s="231"/>
      <c r="L19" s="230"/>
    </row>
    <row r="20" spans="3:15" x14ac:dyDescent="0.25">
      <c r="C20" s="29"/>
      <c r="F20" s="30"/>
      <c r="H20" s="302"/>
      <c r="I20" s="303" t="s">
        <v>159</v>
      </c>
      <c r="J20" s="303" t="s">
        <v>160</v>
      </c>
      <c r="K20" s="303" t="s">
        <v>161</v>
      </c>
      <c r="L20" s="304" t="s">
        <v>162</v>
      </c>
    </row>
    <row r="21" spans="3:15" x14ac:dyDescent="0.25">
      <c r="C21" s="29" t="s">
        <v>152</v>
      </c>
      <c r="D21" s="299">
        <v>2</v>
      </c>
      <c r="E21" s="28">
        <v>1</v>
      </c>
      <c r="F21" s="33">
        <v>2</v>
      </c>
      <c r="H21" s="56" t="s">
        <v>211</v>
      </c>
      <c r="I21" s="57"/>
      <c r="J21" s="57"/>
      <c r="K21" s="57"/>
      <c r="L21" s="58"/>
    </row>
    <row r="22" spans="3:15" x14ac:dyDescent="0.25">
      <c r="C22" s="29"/>
      <c r="D22" s="34" t="str">
        <f>CHOOSE($D$21,E22,F22)</f>
        <v>Offer/share</v>
      </c>
      <c r="E22" s="34" t="s">
        <v>206</v>
      </c>
      <c r="F22" s="35" t="s">
        <v>205</v>
      </c>
      <c r="H22" s="29" t="s">
        <v>66</v>
      </c>
      <c r="I22" s="61">
        <v>0.01</v>
      </c>
      <c r="J22" s="38">
        <f>I22*H9</f>
        <v>0</v>
      </c>
      <c r="K22" s="63">
        <v>5</v>
      </c>
      <c r="L22" s="36">
        <f>IFERROR(J22/K22,"NM")</f>
        <v>0</v>
      </c>
    </row>
    <row r="23" spans="3:15" x14ac:dyDescent="0.25">
      <c r="C23" s="29"/>
      <c r="F23" s="30"/>
      <c r="H23" s="29" t="s">
        <v>210</v>
      </c>
      <c r="I23" s="61">
        <v>1.4999999999999999E-2</v>
      </c>
      <c r="J23" s="38">
        <f>I23*H10</f>
        <v>270.375</v>
      </c>
      <c r="K23" s="63">
        <v>7</v>
      </c>
      <c r="L23" s="36">
        <f>IFERROR(J23/K23,"NM")</f>
        <v>38.625</v>
      </c>
    </row>
    <row r="24" spans="3:15" x14ac:dyDescent="0.25">
      <c r="C24" s="29" t="s">
        <v>148</v>
      </c>
      <c r="D24" s="37">
        <f>D12</f>
        <v>2575</v>
      </c>
      <c r="E24" s="38">
        <f>D12</f>
        <v>2575</v>
      </c>
      <c r="F24" s="36">
        <f>D12</f>
        <v>2575</v>
      </c>
      <c r="H24" s="29" t="s">
        <v>163</v>
      </c>
      <c r="I24" s="61">
        <v>1.4999999999999999E-2</v>
      </c>
      <c r="J24" s="38">
        <f t="shared" ref="J24:J25" si="0">I24*H11</f>
        <v>0</v>
      </c>
      <c r="K24" s="62"/>
      <c r="L24" s="64" t="str">
        <f t="shared" ref="L24:L25" si="1">IFERROR(J24/K24,"NM")</f>
        <v>NM</v>
      </c>
    </row>
    <row r="25" spans="3:15" x14ac:dyDescent="0.25">
      <c r="C25" s="29" t="s">
        <v>150</v>
      </c>
      <c r="D25" s="49">
        <f>CHOOSE($D$21,E25,F25)</f>
        <v>20.906570604197274</v>
      </c>
      <c r="E25" s="336">
        <v>22</v>
      </c>
      <c r="F25" s="51">
        <f>F26/F24</f>
        <v>20.906570604197274</v>
      </c>
      <c r="H25" s="29" t="s">
        <v>164</v>
      </c>
      <c r="I25" s="61">
        <v>0</v>
      </c>
      <c r="J25" s="38">
        <f t="shared" si="0"/>
        <v>0</v>
      </c>
      <c r="K25" s="62"/>
      <c r="L25" s="64" t="str">
        <f t="shared" si="1"/>
        <v>NM</v>
      </c>
    </row>
    <row r="26" spans="3:15" x14ac:dyDescent="0.25">
      <c r="C26" s="312" t="s">
        <v>153</v>
      </c>
      <c r="D26" s="313">
        <f>D24*D25</f>
        <v>53834.419305807984</v>
      </c>
      <c r="E26" s="314">
        <f>E24*E25</f>
        <v>56650</v>
      </c>
      <c r="F26" s="315">
        <f>F31-SUM(F28:F29)</f>
        <v>53834.419305807984</v>
      </c>
      <c r="H26" s="247" t="s">
        <v>165</v>
      </c>
      <c r="I26" s="256"/>
      <c r="J26" s="295">
        <f>SUM(J22:J25)</f>
        <v>270.375</v>
      </c>
      <c r="K26" s="256"/>
      <c r="L26" s="248">
        <f>SUM(L22:L23)</f>
        <v>38.625</v>
      </c>
    </row>
    <row r="27" spans="3:15" x14ac:dyDescent="0.25">
      <c r="C27" s="29"/>
      <c r="D27" s="39"/>
      <c r="E27" s="38"/>
      <c r="F27" s="36"/>
      <c r="H27" s="29"/>
      <c r="L27" s="30"/>
    </row>
    <row r="28" spans="3:15" x14ac:dyDescent="0.25">
      <c r="C28" s="29" t="s">
        <v>154</v>
      </c>
      <c r="D28" s="39">
        <f t="shared" ref="D28:E28" si="2">$D$13</f>
        <v>-1884</v>
      </c>
      <c r="E28" s="38">
        <f t="shared" si="2"/>
        <v>-1884</v>
      </c>
      <c r="F28" s="36">
        <f>$D$13</f>
        <v>-1884</v>
      </c>
      <c r="H28" s="31"/>
      <c r="I28" s="25" t="s">
        <v>167</v>
      </c>
      <c r="J28" s="25" t="s">
        <v>160</v>
      </c>
      <c r="K28" s="2"/>
      <c r="L28" s="32"/>
    </row>
    <row r="29" spans="3:15" x14ac:dyDescent="0.25">
      <c r="C29" s="29" t="s">
        <v>155</v>
      </c>
      <c r="D29" s="39">
        <f>$D$14</f>
        <v>2248</v>
      </c>
      <c r="E29" s="38">
        <f t="shared" ref="E29:F29" si="3">$D$14</f>
        <v>2248</v>
      </c>
      <c r="F29" s="36">
        <f t="shared" si="3"/>
        <v>2248</v>
      </c>
      <c r="H29" s="249" t="s">
        <v>166</v>
      </c>
      <c r="I29" s="296">
        <v>5.0000000000000001E-3</v>
      </c>
      <c r="J29" s="297">
        <f>I29*D31</f>
        <v>270.99209652903994</v>
      </c>
      <c r="K29" s="250"/>
      <c r="L29" s="298"/>
    </row>
    <row r="30" spans="3:15" x14ac:dyDescent="0.25">
      <c r="C30" s="29"/>
      <c r="D30" s="39"/>
      <c r="E30" s="38"/>
      <c r="F30" s="36"/>
    </row>
    <row r="31" spans="3:15" x14ac:dyDescent="0.25">
      <c r="C31" s="312" t="s">
        <v>156</v>
      </c>
      <c r="D31" s="313">
        <f>D26+SUM(D28:D29)</f>
        <v>54198.419305807984</v>
      </c>
      <c r="E31" s="314">
        <f>E26+SUM(E28:E29)</f>
        <v>57014</v>
      </c>
      <c r="F31" s="315">
        <f>F34*F32</f>
        <v>54198.419305807984</v>
      </c>
    </row>
    <row r="32" spans="3:15" x14ac:dyDescent="0.25">
      <c r="C32" s="29" t="s">
        <v>22</v>
      </c>
      <c r="D32" s="204">
        <f>DCF!$I$72</f>
        <v>258.08771098003803</v>
      </c>
      <c r="E32" s="203">
        <f>DCF!$I$72</f>
        <v>258.08771098003803</v>
      </c>
      <c r="F32" s="89">
        <f>DCF!$I$72</f>
        <v>258.08771098003803</v>
      </c>
    </row>
    <row r="33" spans="2:12" x14ac:dyDescent="0.25">
      <c r="C33" s="29"/>
      <c r="D33" s="39"/>
      <c r="E33" s="38"/>
      <c r="F33" s="36"/>
      <c r="H33" s="38"/>
    </row>
    <row r="34" spans="2:12" x14ac:dyDescent="0.25">
      <c r="C34" s="312" t="s">
        <v>157</v>
      </c>
      <c r="D34" s="316">
        <f>D31/D32</f>
        <v>210</v>
      </c>
      <c r="E34" s="317">
        <f>E31/E32</f>
        <v>220.90939465308284</v>
      </c>
      <c r="F34" s="337">
        <v>210</v>
      </c>
    </row>
    <row r="35" spans="2:12" x14ac:dyDescent="0.25">
      <c r="C35" s="106" t="s">
        <v>274</v>
      </c>
      <c r="D35" s="46">
        <f t="shared" ref="D35:E35" si="4">D34/$D$9-1</f>
        <v>0.24762357414448677</v>
      </c>
      <c r="E35" s="47">
        <f t="shared" si="4"/>
        <v>0.31243699294844851</v>
      </c>
      <c r="F35" s="48">
        <f>F34/$D$9-1</f>
        <v>0.24762357414448677</v>
      </c>
    </row>
    <row r="37" spans="2:12" x14ac:dyDescent="0.25">
      <c r="L37"/>
    </row>
    <row r="38" spans="2:12" x14ac:dyDescent="0.25">
      <c r="B38" s="1" t="s">
        <v>72</v>
      </c>
      <c r="C38" s="233" t="s">
        <v>172</v>
      </c>
      <c r="D38" s="231"/>
      <c r="E38" s="231"/>
      <c r="F38" s="231"/>
      <c r="G38" s="231"/>
      <c r="H38" s="231"/>
      <c r="I38" s="231"/>
      <c r="J38" s="231"/>
      <c r="K38" s="231"/>
      <c r="L38" s="230"/>
    </row>
    <row r="39" spans="2:12" x14ac:dyDescent="0.25">
      <c r="C39" s="29"/>
      <c r="G39" s="311" t="s">
        <v>261</v>
      </c>
      <c r="H39" s="310" t="s">
        <v>182</v>
      </c>
      <c r="I39" s="300"/>
      <c r="J39" s="300"/>
      <c r="K39" s="300"/>
      <c r="L39" s="301"/>
    </row>
    <row r="40" spans="2:12" x14ac:dyDescent="0.25">
      <c r="C40" s="29" t="s">
        <v>173</v>
      </c>
      <c r="G40" s="305">
        <v>5</v>
      </c>
      <c r="H40" s="50">
        <f>D16-10</f>
        <v>21.5</v>
      </c>
      <c r="I40" s="50">
        <f>H40+$G$40</f>
        <v>26.5</v>
      </c>
      <c r="J40" s="50">
        <f>I40+$G$40</f>
        <v>31.5</v>
      </c>
      <c r="K40" s="50">
        <f>J40+$G$40</f>
        <v>36.5</v>
      </c>
      <c r="L40" s="51">
        <f>K40+$G$40</f>
        <v>41.5</v>
      </c>
    </row>
    <row r="41" spans="2:12" x14ac:dyDescent="0.25">
      <c r="C41" s="29" t="s">
        <v>174</v>
      </c>
      <c r="H41" s="94">
        <f>Financials!$K$38</f>
        <v>3506.0166461310891</v>
      </c>
      <c r="I41" s="94">
        <f>Financials!$K$38</f>
        <v>3506.0166461310891</v>
      </c>
      <c r="J41" s="94">
        <f>Financials!$K$38</f>
        <v>3506.0166461310891</v>
      </c>
      <c r="K41" s="94">
        <f>Financials!$K$38</f>
        <v>3506.0166461310891</v>
      </c>
      <c r="L41" s="89">
        <f>Financials!$K$38</f>
        <v>3506.0166461310891</v>
      </c>
    </row>
    <row r="42" spans="2:12" x14ac:dyDescent="0.25">
      <c r="C42" s="42" t="s">
        <v>175</v>
      </c>
      <c r="H42" s="52">
        <f>H41*H40</f>
        <v>75379.357891818421</v>
      </c>
      <c r="I42" s="52">
        <f t="shared" ref="I42:L42" si="5">I41*I40</f>
        <v>92909.441122473858</v>
      </c>
      <c r="J42" s="52">
        <f t="shared" si="5"/>
        <v>110439.52435312931</v>
      </c>
      <c r="K42" s="52">
        <f t="shared" si="5"/>
        <v>127969.60758378476</v>
      </c>
      <c r="L42" s="53">
        <f t="shared" si="5"/>
        <v>145499.6908144402</v>
      </c>
    </row>
    <row r="43" spans="2:12" x14ac:dyDescent="0.25">
      <c r="C43" s="29"/>
      <c r="H43" s="38"/>
      <c r="I43" s="38"/>
      <c r="J43" s="38"/>
      <c r="K43" s="38"/>
      <c r="L43" s="36"/>
    </row>
    <row r="44" spans="2:12" x14ac:dyDescent="0.25">
      <c r="C44" s="42" t="s">
        <v>176</v>
      </c>
      <c r="H44" s="38"/>
      <c r="I44" s="38"/>
      <c r="J44" s="38"/>
      <c r="K44" s="38"/>
      <c r="L44" s="36"/>
    </row>
    <row r="45" spans="2:12" x14ac:dyDescent="0.25">
      <c r="C45" s="29" t="s">
        <v>66</v>
      </c>
      <c r="H45" s="94">
        <f ca="1">Financials!$K$212</f>
        <v>0</v>
      </c>
      <c r="I45" s="94">
        <f ca="1">Financials!$K$212</f>
        <v>0</v>
      </c>
      <c r="J45" s="94">
        <f ca="1">Financials!$K$212</f>
        <v>0</v>
      </c>
      <c r="K45" s="94">
        <f ca="1">Financials!$K$212</f>
        <v>0</v>
      </c>
      <c r="L45" s="89">
        <f ca="1">Financials!$K$212</f>
        <v>0</v>
      </c>
    </row>
    <row r="46" spans="2:12" x14ac:dyDescent="0.25">
      <c r="C46" s="29" t="s">
        <v>214</v>
      </c>
      <c r="H46" s="94">
        <f ca="1">Financials!$K$218</f>
        <v>10206.373268482675</v>
      </c>
      <c r="I46" s="94">
        <f ca="1">Financials!$K$218</f>
        <v>10206.373268482675</v>
      </c>
      <c r="J46" s="94">
        <f ca="1">Financials!$K$218</f>
        <v>10206.373268482675</v>
      </c>
      <c r="K46" s="94">
        <f ca="1">Financials!$K$218</f>
        <v>10206.373268482675</v>
      </c>
      <c r="L46" s="89">
        <f ca="1">Financials!$K$218</f>
        <v>10206.373268482675</v>
      </c>
    </row>
    <row r="47" spans="2:12" x14ac:dyDescent="0.25">
      <c r="C47" s="29" t="s">
        <v>131</v>
      </c>
      <c r="H47" s="94">
        <f>Financials!$K$225</f>
        <v>0</v>
      </c>
      <c r="I47" s="94">
        <f>Financials!$K$225</f>
        <v>0</v>
      </c>
      <c r="J47" s="94">
        <f>Financials!$K$225</f>
        <v>0</v>
      </c>
      <c r="K47" s="94">
        <f>Financials!$K$225</f>
        <v>0</v>
      </c>
      <c r="L47" s="89">
        <f>Financials!$K$225</f>
        <v>0</v>
      </c>
    </row>
    <row r="48" spans="2:12" x14ac:dyDescent="0.25">
      <c r="C48" s="29" t="s">
        <v>177</v>
      </c>
      <c r="H48" s="94">
        <f>Financials!$K$232</f>
        <v>0</v>
      </c>
      <c r="I48" s="94">
        <f>Financials!$K$232</f>
        <v>0</v>
      </c>
      <c r="J48" s="94">
        <f>Financials!$K$232</f>
        <v>0</v>
      </c>
      <c r="K48" s="94">
        <f>Financials!$K$232</f>
        <v>0</v>
      </c>
      <c r="L48" s="89">
        <f>Financials!$K$232</f>
        <v>0</v>
      </c>
    </row>
    <row r="49" spans="2:12" x14ac:dyDescent="0.25">
      <c r="C49" s="29" t="s">
        <v>178</v>
      </c>
      <c r="H49" s="94">
        <f>Financials!$K$238</f>
        <v>0</v>
      </c>
      <c r="I49" s="94">
        <f>Financials!$K$238</f>
        <v>0</v>
      </c>
      <c r="J49" s="94">
        <f>Financials!$K$238</f>
        <v>0</v>
      </c>
      <c r="K49" s="94">
        <f>Financials!$K$238</f>
        <v>0</v>
      </c>
      <c r="L49" s="89">
        <f>Financials!$K$238</f>
        <v>0</v>
      </c>
    </row>
    <row r="50" spans="2:12" x14ac:dyDescent="0.25">
      <c r="C50" s="29" t="s">
        <v>124</v>
      </c>
      <c r="H50" s="94">
        <f ca="1">-Financials!$K$199</f>
        <v>-200</v>
      </c>
      <c r="I50" s="94">
        <f ca="1">-Financials!$K$199</f>
        <v>-200</v>
      </c>
      <c r="J50" s="94">
        <f ca="1">-Financials!$K$199</f>
        <v>-200</v>
      </c>
      <c r="K50" s="94">
        <f ca="1">-Financials!$K$199</f>
        <v>-200</v>
      </c>
      <c r="L50" s="89">
        <f ca="1">-Financials!$K$199</f>
        <v>-200</v>
      </c>
    </row>
    <row r="51" spans="2:12" x14ac:dyDescent="0.25">
      <c r="C51" s="29"/>
      <c r="H51" s="38"/>
      <c r="I51" s="38"/>
      <c r="J51" s="38"/>
      <c r="K51" s="38"/>
      <c r="L51" s="36"/>
    </row>
    <row r="52" spans="2:12" x14ac:dyDescent="0.25">
      <c r="C52" s="42" t="s">
        <v>179</v>
      </c>
      <c r="E52" s="307" t="s">
        <v>262</v>
      </c>
      <c r="F52" s="308" t="s">
        <v>263</v>
      </c>
      <c r="G52" s="309" t="s">
        <v>264</v>
      </c>
      <c r="H52" s="52">
        <f ca="1">H42-SUM(H45:H50)</f>
        <v>65372.984623335746</v>
      </c>
      <c r="I52" s="52">
        <f t="shared" ref="I52:L52" ca="1" si="6">I42-SUM(I45:I50)</f>
        <v>82903.067853991175</v>
      </c>
      <c r="J52" s="52">
        <f t="shared" ca="1" si="6"/>
        <v>100433.15108464664</v>
      </c>
      <c r="K52" s="52">
        <f t="shared" ca="1" si="6"/>
        <v>117963.23431530208</v>
      </c>
      <c r="L52" s="53">
        <f t="shared" ca="1" si="6"/>
        <v>135493.31754595751</v>
      </c>
    </row>
    <row r="53" spans="2:12" x14ac:dyDescent="0.25">
      <c r="C53" s="29" t="s">
        <v>180</v>
      </c>
      <c r="E53" s="40">
        <f>H15</f>
        <v>31323.53640233702</v>
      </c>
      <c r="F53" s="60">
        <f>E53/SUM($E$53:$E$56)</f>
        <v>0.85698666117712385</v>
      </c>
      <c r="G53" s="92">
        <f>(1-$G$55-$G$56)*(F53/SUM($F$53:$F$54))</f>
        <v>0.85698666117712385</v>
      </c>
      <c r="H53" s="38">
        <f ca="1">H$52*$G53</f>
        <v>56023.775823535958</v>
      </c>
      <c r="I53" s="38">
        <f ca="1">I$52*$G53</f>
        <v>71046.823321532444</v>
      </c>
      <c r="J53" s="38">
        <f ca="1">J$52*$G53</f>
        <v>86069.870819528966</v>
      </c>
      <c r="K53" s="38">
        <f ca="1">K$52*$G53</f>
        <v>101092.91831752546</v>
      </c>
      <c r="L53" s="36">
        <f ca="1">L$52*$G53</f>
        <v>116115.96581552194</v>
      </c>
    </row>
    <row r="54" spans="2:12" x14ac:dyDescent="0.25">
      <c r="C54" s="29" t="s">
        <v>201</v>
      </c>
      <c r="E54" s="40">
        <f>H14</f>
        <v>5227.2499999999991</v>
      </c>
      <c r="F54" s="60">
        <f>E54/SUM($E$53:$E$56)</f>
        <v>0.14301333882287617</v>
      </c>
      <c r="G54" s="92">
        <f>(1-$G$55-$G$56)*(F54/SUM($F$53:$F$54))</f>
        <v>0.14301333882287617</v>
      </c>
      <c r="H54" s="38">
        <f ca="1">H$52*$G54</f>
        <v>9349.2087997997896</v>
      </c>
      <c r="I54" s="38">
        <f ca="1">I$52*$G54</f>
        <v>11856.244532458733</v>
      </c>
      <c r="J54" s="38">
        <f ca="1">J$52*$G54</f>
        <v>14363.280265117684</v>
      </c>
      <c r="K54" s="38">
        <f ca="1">K$52*$G54</f>
        <v>16870.31599777663</v>
      </c>
      <c r="L54" s="36">
        <f ca="1">L$52*$G54</f>
        <v>19377.351730435574</v>
      </c>
    </row>
    <row r="55" spans="2:12" x14ac:dyDescent="0.25">
      <c r="C55" s="29" t="s">
        <v>181</v>
      </c>
      <c r="E55" s="40">
        <f>H13</f>
        <v>0</v>
      </c>
      <c r="F55" s="60">
        <f>E55/SUM($E$53:$E$56)</f>
        <v>0</v>
      </c>
      <c r="G55" s="338"/>
      <c r="H55" s="38">
        <f ca="1">H$52*$G55</f>
        <v>0</v>
      </c>
      <c r="I55" s="38">
        <f ca="1">I$52*$G55</f>
        <v>0</v>
      </c>
      <c r="J55" s="38">
        <f ca="1">J$52*$G55</f>
        <v>0</v>
      </c>
      <c r="K55" s="38">
        <f ca="1">K$52*$G55</f>
        <v>0</v>
      </c>
      <c r="L55" s="36">
        <f ca="1">L$52*$G55</f>
        <v>0</v>
      </c>
    </row>
    <row r="56" spans="2:12" x14ac:dyDescent="0.25">
      <c r="C56" s="31" t="s">
        <v>164</v>
      </c>
      <c r="D56" s="32"/>
      <c r="E56" s="93">
        <f>H12</f>
        <v>0</v>
      </c>
      <c r="F56" s="47">
        <f>E56/SUM($E$53:$E$56)</f>
        <v>0</v>
      </c>
      <c r="G56" s="338"/>
      <c r="H56" s="59">
        <f ca="1">H$52*$G56</f>
        <v>0</v>
      </c>
      <c r="I56" s="59">
        <f ca="1">I$52*$G56</f>
        <v>0</v>
      </c>
      <c r="J56" s="59">
        <f ca="1">J$52*$G56</f>
        <v>0</v>
      </c>
      <c r="K56" s="59">
        <f ca="1">K$52*$G56</f>
        <v>0</v>
      </c>
      <c r="L56" s="41">
        <f ca="1">L$52*$G56</f>
        <v>0</v>
      </c>
    </row>
    <row r="59" spans="2:12" x14ac:dyDescent="0.25">
      <c r="B59" s="1" t="s">
        <v>72</v>
      </c>
      <c r="C59" s="233" t="s">
        <v>183</v>
      </c>
      <c r="D59" s="231"/>
      <c r="E59" s="231"/>
      <c r="F59" s="231"/>
      <c r="G59" s="231"/>
      <c r="H59" s="231"/>
      <c r="I59" s="231"/>
      <c r="J59" s="231"/>
      <c r="K59" s="231"/>
      <c r="L59" s="230"/>
    </row>
    <row r="60" spans="2:12" x14ac:dyDescent="0.25">
      <c r="C60" s="318"/>
      <c r="D60" s="250"/>
      <c r="E60" s="319" t="s">
        <v>184</v>
      </c>
      <c r="F60" s="310" t="s">
        <v>185</v>
      </c>
      <c r="G60" s="320" t="s">
        <v>186</v>
      </c>
      <c r="H60" s="321">
        <v>2026</v>
      </c>
      <c r="I60" s="321">
        <f>H60+1</f>
        <v>2027</v>
      </c>
      <c r="J60" s="321">
        <f t="shared" ref="J60:L60" si="7">I60+1</f>
        <v>2028</v>
      </c>
      <c r="K60" s="321">
        <f t="shared" si="7"/>
        <v>2029</v>
      </c>
      <c r="L60" s="322">
        <f t="shared" si="7"/>
        <v>2030</v>
      </c>
    </row>
    <row r="61" spans="2:12" x14ac:dyDescent="0.25">
      <c r="C61" s="29" t="s">
        <v>66</v>
      </c>
      <c r="E61" s="91" t="str">
        <f ca="1">IFERROR(SUM(H61:L61)/-G61,"NM")</f>
        <v>NM</v>
      </c>
      <c r="F61" s="97">
        <f ca="1">IFERROR(IRR(G61:L61),0)</f>
        <v>0</v>
      </c>
      <c r="G61" s="38">
        <f>-H9</f>
        <v>0</v>
      </c>
      <c r="H61" s="38">
        <f ca="1">-Financials!G211+Financials!G253</f>
        <v>0</v>
      </c>
      <c r="I61" s="38">
        <f ca="1">-Financials!H211+Financials!H253</f>
        <v>0</v>
      </c>
      <c r="J61" s="38">
        <f ca="1">-Financials!I211+Financials!I253</f>
        <v>0</v>
      </c>
      <c r="K61" s="38">
        <f ca="1">-Financials!J211+Financials!J253</f>
        <v>0</v>
      </c>
      <c r="L61" s="36">
        <f ca="1">-Financials!K211+Financials!K253+H45</f>
        <v>0</v>
      </c>
    </row>
    <row r="62" spans="2:12" x14ac:dyDescent="0.25">
      <c r="C62" s="29" t="s">
        <v>214</v>
      </c>
      <c r="E62" s="91">
        <f t="shared" ref="E62:E87" ca="1" si="8">IFERROR(SUM(H62:L62)/-G62,"NM")</f>
        <v>1.2845112202261235</v>
      </c>
      <c r="F62" s="97">
        <f t="shared" ref="F62:F87" ca="1" si="9">IFERROR(IRR(G62:L62),0)</f>
        <v>6.7106428883871416E-2</v>
      </c>
      <c r="G62" s="38">
        <f>-H10</f>
        <v>-18025</v>
      </c>
      <c r="H62" s="38">
        <f ca="1">-(Financials!G216+Financials!G217)+Financials!G254</f>
        <v>2546.290385319051</v>
      </c>
      <c r="I62" s="38">
        <f ca="1">-(Financials!H216+Financials!H217)+Financials!H254</f>
        <v>2354.6972647464622</v>
      </c>
      <c r="J62" s="38">
        <f ca="1">-(Financials!I216+Financials!I217)+Financials!I254</f>
        <v>2452.9804817696304</v>
      </c>
      <c r="K62" s="38">
        <f ca="1">-(Financials!J216+Financials!J217)+Financials!J254</f>
        <v>2763.2865943997876</v>
      </c>
      <c r="L62" s="36">
        <f ca="1">-(Financials!K216+Financials!K217)+Financials!K254+H46</f>
        <v>13036.060018340944</v>
      </c>
    </row>
    <row r="63" spans="2:12" x14ac:dyDescent="0.25">
      <c r="C63" s="29" t="s">
        <v>131</v>
      </c>
      <c r="E63" s="91" t="str">
        <f t="shared" si="8"/>
        <v>NM</v>
      </c>
      <c r="F63" s="97">
        <f t="shared" si="9"/>
        <v>0</v>
      </c>
      <c r="G63" s="38">
        <f>-H11</f>
        <v>0</v>
      </c>
      <c r="H63" s="38">
        <f>Financials!G255+Financials!G224</f>
        <v>0</v>
      </c>
      <c r="I63" s="38">
        <f>Financials!H255+Financials!H224</f>
        <v>0</v>
      </c>
      <c r="J63" s="38">
        <f>Financials!I255+Financials!I224</f>
        <v>0</v>
      </c>
      <c r="K63" s="38">
        <f>Financials!J255+Financials!J224</f>
        <v>0</v>
      </c>
      <c r="L63" s="36">
        <f>Financials!K255+Financials!K224+H47</f>
        <v>0</v>
      </c>
    </row>
    <row r="64" spans="2:12" x14ac:dyDescent="0.25">
      <c r="C64" s="29" t="s">
        <v>188</v>
      </c>
      <c r="E64" s="91"/>
      <c r="F64" s="97"/>
      <c r="G64" s="38"/>
      <c r="H64" s="38"/>
      <c r="I64" s="38"/>
      <c r="J64" s="38"/>
      <c r="K64" s="38"/>
      <c r="L64" s="36"/>
    </row>
    <row r="65" spans="3:12" x14ac:dyDescent="0.25">
      <c r="C65" s="95">
        <f>$H$40</f>
        <v>21.5</v>
      </c>
      <c r="E65" s="91" t="str">
        <f t="shared" ca="1" si="8"/>
        <v>NM</v>
      </c>
      <c r="F65" s="97">
        <f t="shared" ca="1" si="9"/>
        <v>0</v>
      </c>
      <c r="G65" s="38">
        <f>-$H$12</f>
        <v>0</v>
      </c>
      <c r="H65" s="38">
        <f>Financials!G$230+Financials!G$256</f>
        <v>0</v>
      </c>
      <c r="I65" s="38">
        <f>Financials!H$230+Financials!H$256</f>
        <v>0</v>
      </c>
      <c r="J65" s="38">
        <f>Financials!I$230+Financials!I$256</f>
        <v>0</v>
      </c>
      <c r="K65" s="38">
        <f>Financials!J$230+Financials!J$256</f>
        <v>0</v>
      </c>
      <c r="L65" s="36">
        <f ca="1">Financials!K$230+Financials!K$256+H48+H56</f>
        <v>0</v>
      </c>
    </row>
    <row r="66" spans="3:12" x14ac:dyDescent="0.25">
      <c r="C66" s="95">
        <f>$I$40</f>
        <v>26.5</v>
      </c>
      <c r="E66" s="91" t="str">
        <f t="shared" ca="1" si="8"/>
        <v>NM</v>
      </c>
      <c r="F66" s="97">
        <f t="shared" ca="1" si="9"/>
        <v>0</v>
      </c>
      <c r="G66" s="38">
        <f t="shared" ref="G66:G69" si="10">-$H$12</f>
        <v>0</v>
      </c>
      <c r="H66" s="38">
        <f>Financials!G$230+Financials!G$256</f>
        <v>0</v>
      </c>
      <c r="I66" s="38">
        <f>Financials!H$230+Financials!H$256</f>
        <v>0</v>
      </c>
      <c r="J66" s="38">
        <f>Financials!I$230+Financials!I$256</f>
        <v>0</v>
      </c>
      <c r="K66" s="38">
        <f>Financials!J$230+Financials!J$256</f>
        <v>0</v>
      </c>
      <c r="L66" s="36">
        <f ca="1">Financials!K$230+Financials!K$256+I48+I56</f>
        <v>0</v>
      </c>
    </row>
    <row r="67" spans="3:12" x14ac:dyDescent="0.25">
      <c r="C67" s="95">
        <f>$J$40</f>
        <v>31.5</v>
      </c>
      <c r="E67" s="91" t="str">
        <f t="shared" ca="1" si="8"/>
        <v>NM</v>
      </c>
      <c r="F67" s="97">
        <f t="shared" ca="1" si="9"/>
        <v>0</v>
      </c>
      <c r="G67" s="38">
        <f t="shared" si="10"/>
        <v>0</v>
      </c>
      <c r="H67" s="38">
        <f>Financials!G$230+Financials!G$256</f>
        <v>0</v>
      </c>
      <c r="I67" s="38">
        <f>Financials!H$230+Financials!H$256</f>
        <v>0</v>
      </c>
      <c r="J67" s="38">
        <f>Financials!I$230+Financials!I$256</f>
        <v>0</v>
      </c>
      <c r="K67" s="38">
        <f>Financials!J$230+Financials!J$256</f>
        <v>0</v>
      </c>
      <c r="L67" s="36">
        <f ca="1">Financials!K$230+Financials!K$256+J48+J56</f>
        <v>0</v>
      </c>
    </row>
    <row r="68" spans="3:12" x14ac:dyDescent="0.25">
      <c r="C68" s="95">
        <f>$K$40</f>
        <v>36.5</v>
      </c>
      <c r="E68" s="91" t="str">
        <f t="shared" ca="1" si="8"/>
        <v>NM</v>
      </c>
      <c r="F68" s="97">
        <f t="shared" ca="1" si="9"/>
        <v>0</v>
      </c>
      <c r="G68" s="38">
        <f t="shared" si="10"/>
        <v>0</v>
      </c>
      <c r="H68" s="38">
        <f>Financials!G$230+Financials!G$256</f>
        <v>0</v>
      </c>
      <c r="I68" s="38">
        <f>Financials!H$230+Financials!H$256</f>
        <v>0</v>
      </c>
      <c r="J68" s="38">
        <f>Financials!I$230+Financials!I$256</f>
        <v>0</v>
      </c>
      <c r="K68" s="38">
        <f>Financials!J$230+Financials!J$256</f>
        <v>0</v>
      </c>
      <c r="L68" s="36">
        <f ca="1">Financials!K$230+Financials!K$256+K48+K56</f>
        <v>0</v>
      </c>
    </row>
    <row r="69" spans="3:12" x14ac:dyDescent="0.25">
      <c r="C69" s="95">
        <f>$L$40</f>
        <v>41.5</v>
      </c>
      <c r="E69" s="91" t="str">
        <f t="shared" ca="1" si="8"/>
        <v>NM</v>
      </c>
      <c r="F69" s="97">
        <f t="shared" ca="1" si="9"/>
        <v>0</v>
      </c>
      <c r="G69" s="38">
        <f t="shared" si="10"/>
        <v>0</v>
      </c>
      <c r="H69" s="38">
        <f>Financials!G$230+Financials!G$256</f>
        <v>0</v>
      </c>
      <c r="I69" s="38">
        <f>Financials!H$230+Financials!H$256</f>
        <v>0</v>
      </c>
      <c r="J69" s="38">
        <f>Financials!I$230+Financials!I$256</f>
        <v>0</v>
      </c>
      <c r="K69" s="38">
        <f>Financials!J$230+Financials!J$256</f>
        <v>0</v>
      </c>
      <c r="L69" s="36">
        <f ca="1">Financials!K$230+Financials!K$256+L48+L56</f>
        <v>0</v>
      </c>
    </row>
    <row r="70" spans="3:12" x14ac:dyDescent="0.25">
      <c r="C70" s="29" t="s">
        <v>189</v>
      </c>
      <c r="E70" s="91"/>
      <c r="F70" s="97"/>
      <c r="G70" s="38"/>
      <c r="H70" s="38"/>
      <c r="I70" s="38"/>
      <c r="J70" s="38"/>
      <c r="K70" s="38"/>
      <c r="L70" s="36"/>
    </row>
    <row r="71" spans="3:12" x14ac:dyDescent="0.25">
      <c r="C71" s="95">
        <f>$H$40</f>
        <v>21.5</v>
      </c>
      <c r="E71" s="91" t="str">
        <f t="shared" ca="1" si="8"/>
        <v>NM</v>
      </c>
      <c r="F71" s="97">
        <f t="shared" ca="1" si="9"/>
        <v>0</v>
      </c>
      <c r="G71" s="38">
        <f>-$H$13</f>
        <v>0</v>
      </c>
      <c r="H71" s="94">
        <f>Financials!G$239</f>
        <v>0</v>
      </c>
      <c r="I71" s="94">
        <f>Financials!H$239</f>
        <v>0</v>
      </c>
      <c r="J71" s="94">
        <f>Financials!I$239</f>
        <v>0</v>
      </c>
      <c r="K71" s="94">
        <f>Financials!J$239</f>
        <v>0</v>
      </c>
      <c r="L71" s="36">
        <f ca="1">Financials!$K$239+Financials!$K$238+LBO!H55</f>
        <v>0</v>
      </c>
    </row>
    <row r="72" spans="3:12" x14ac:dyDescent="0.25">
      <c r="C72" s="95">
        <f>$I$40</f>
        <v>26.5</v>
      </c>
      <c r="E72" s="91" t="str">
        <f t="shared" ca="1" si="8"/>
        <v>NM</v>
      </c>
      <c r="F72" s="97">
        <f t="shared" ca="1" si="9"/>
        <v>0</v>
      </c>
      <c r="G72" s="38">
        <f t="shared" ref="G72:G75" si="11">-$H$13</f>
        <v>0</v>
      </c>
      <c r="H72" s="94">
        <f>Financials!G$239</f>
        <v>0</v>
      </c>
      <c r="I72" s="94">
        <f>Financials!H$239</f>
        <v>0</v>
      </c>
      <c r="J72" s="94">
        <f>Financials!I$239</f>
        <v>0</v>
      </c>
      <c r="K72" s="94">
        <f>Financials!J$239</f>
        <v>0</v>
      </c>
      <c r="L72" s="36">
        <f ca="1">Financials!$K$239+Financials!$K$238+I55</f>
        <v>0</v>
      </c>
    </row>
    <row r="73" spans="3:12" x14ac:dyDescent="0.25">
      <c r="C73" s="95">
        <f>$J$40</f>
        <v>31.5</v>
      </c>
      <c r="E73" s="91" t="str">
        <f t="shared" ca="1" si="8"/>
        <v>NM</v>
      </c>
      <c r="F73" s="97">
        <f t="shared" ca="1" si="9"/>
        <v>0</v>
      </c>
      <c r="G73" s="38">
        <f t="shared" si="11"/>
        <v>0</v>
      </c>
      <c r="H73" s="94">
        <f>Financials!G$239</f>
        <v>0</v>
      </c>
      <c r="I73" s="94">
        <f>Financials!H$239</f>
        <v>0</v>
      </c>
      <c r="J73" s="94">
        <f>Financials!I$239</f>
        <v>0</v>
      </c>
      <c r="K73" s="94">
        <f>Financials!J$239</f>
        <v>0</v>
      </c>
      <c r="L73" s="36">
        <f ca="1">Financials!$K$239+Financials!$K$238+J55</f>
        <v>0</v>
      </c>
    </row>
    <row r="74" spans="3:12" x14ac:dyDescent="0.25">
      <c r="C74" s="95">
        <f>$K$40</f>
        <v>36.5</v>
      </c>
      <c r="E74" s="91" t="str">
        <f t="shared" ca="1" si="8"/>
        <v>NM</v>
      </c>
      <c r="F74" s="97">
        <f t="shared" ca="1" si="9"/>
        <v>0</v>
      </c>
      <c r="G74" s="38">
        <f t="shared" si="11"/>
        <v>0</v>
      </c>
      <c r="H74" s="94">
        <f>Financials!G$239</f>
        <v>0</v>
      </c>
      <c r="I74" s="94">
        <f>Financials!H$239</f>
        <v>0</v>
      </c>
      <c r="J74" s="94">
        <f>Financials!I$239</f>
        <v>0</v>
      </c>
      <c r="K74" s="94">
        <f>Financials!J$239</f>
        <v>0</v>
      </c>
      <c r="L74" s="36">
        <f ca="1">Financials!$K$239+Financials!$K$238+K55</f>
        <v>0</v>
      </c>
    </row>
    <row r="75" spans="3:12" x14ac:dyDescent="0.25">
      <c r="C75" s="95">
        <f>$L$40</f>
        <v>41.5</v>
      </c>
      <c r="E75" s="91" t="str">
        <f t="shared" ca="1" si="8"/>
        <v>NM</v>
      </c>
      <c r="F75" s="97">
        <f t="shared" ca="1" si="9"/>
        <v>0</v>
      </c>
      <c r="G75" s="38">
        <f t="shared" si="11"/>
        <v>0</v>
      </c>
      <c r="H75" s="94">
        <f>Financials!G$239</f>
        <v>0</v>
      </c>
      <c r="I75" s="94">
        <f>Financials!H$239</f>
        <v>0</v>
      </c>
      <c r="J75" s="94">
        <f>Financials!I$239</f>
        <v>0</v>
      </c>
      <c r="K75" s="94">
        <f>Financials!J$239</f>
        <v>0</v>
      </c>
      <c r="L75" s="36">
        <f ca="1">Financials!$K$239+Financials!$K$238+L55</f>
        <v>0</v>
      </c>
    </row>
    <row r="76" spans="3:12" x14ac:dyDescent="0.25">
      <c r="C76" s="29" t="s">
        <v>265</v>
      </c>
      <c r="E76" s="91"/>
      <c r="F76" s="97"/>
      <c r="G76" s="38"/>
      <c r="H76" s="38"/>
      <c r="I76" s="38"/>
      <c r="J76" s="38"/>
      <c r="K76" s="38"/>
      <c r="L76" s="36"/>
    </row>
    <row r="77" spans="3:12" x14ac:dyDescent="0.25">
      <c r="C77" s="95">
        <f>$H$40</f>
        <v>21.5</v>
      </c>
      <c r="E77" s="91">
        <f t="shared" ca="1" si="8"/>
        <v>1.7885520684489533</v>
      </c>
      <c r="F77" s="97">
        <f t="shared" ca="1" si="9"/>
        <v>0.12331179109070112</v>
      </c>
      <c r="G77" s="38">
        <f>-$H$14</f>
        <v>-5227.2499999999991</v>
      </c>
      <c r="H77" s="43">
        <v>0</v>
      </c>
      <c r="I77" s="43">
        <v>0</v>
      </c>
      <c r="J77" s="43">
        <v>0</v>
      </c>
      <c r="K77" s="43">
        <v>0</v>
      </c>
      <c r="L77" s="36" cm="1">
        <f t="array" aca="1" ref="L77:L81" ca="1">TRANSPOSE(H54:L54)</f>
        <v>9349.2087997997896</v>
      </c>
    </row>
    <row r="78" spans="3:12" x14ac:dyDescent="0.25">
      <c r="C78" s="95">
        <f>$I$40</f>
        <v>26.5</v>
      </c>
      <c r="E78" s="91">
        <f t="shared" ca="1" si="8"/>
        <v>2.2681609895181474</v>
      </c>
      <c r="F78" s="97">
        <f t="shared" ca="1" si="9"/>
        <v>0.17797147866149765</v>
      </c>
      <c r="G78" s="38">
        <f t="shared" ref="G78:G81" si="12">-$H$14</f>
        <v>-5227.2499999999991</v>
      </c>
      <c r="H78" s="43">
        <v>0</v>
      </c>
      <c r="I78" s="43">
        <v>0</v>
      </c>
      <c r="J78" s="43">
        <v>0</v>
      </c>
      <c r="K78" s="43">
        <v>0</v>
      </c>
      <c r="L78" s="36">
        <f ca="1"/>
        <v>11856.244532458733</v>
      </c>
    </row>
    <row r="79" spans="3:12" x14ac:dyDescent="0.25">
      <c r="C79" s="95">
        <f>$J$40</f>
        <v>31.5</v>
      </c>
      <c r="E79" s="91">
        <f t="shared" ca="1" si="8"/>
        <v>2.7477699105873428</v>
      </c>
      <c r="F79" s="97">
        <f t="shared" ca="1" si="9"/>
        <v>0.22404130350762963</v>
      </c>
      <c r="G79" s="38">
        <f t="shared" si="12"/>
        <v>-5227.2499999999991</v>
      </c>
      <c r="H79" s="43">
        <v>0</v>
      </c>
      <c r="I79" s="43">
        <v>0</v>
      </c>
      <c r="J79" s="43">
        <v>0</v>
      </c>
      <c r="K79" s="43">
        <v>0</v>
      </c>
      <c r="L79" s="36">
        <f ca="1"/>
        <v>14363.280265117684</v>
      </c>
    </row>
    <row r="80" spans="3:12" x14ac:dyDescent="0.25">
      <c r="C80" s="95">
        <f>$K$40</f>
        <v>36.5</v>
      </c>
      <c r="E80" s="91">
        <f t="shared" ca="1" si="8"/>
        <v>3.2273788316565368</v>
      </c>
      <c r="F80" s="97">
        <f t="shared" ca="1" si="9"/>
        <v>0.26406669594419552</v>
      </c>
      <c r="G80" s="38">
        <f t="shared" si="12"/>
        <v>-5227.2499999999991</v>
      </c>
      <c r="H80" s="43">
        <v>0</v>
      </c>
      <c r="I80" s="43">
        <v>0</v>
      </c>
      <c r="J80" s="43">
        <v>0</v>
      </c>
      <c r="K80" s="43">
        <v>0</v>
      </c>
      <c r="L80" s="36">
        <f ca="1"/>
        <v>16870.31599777663</v>
      </c>
    </row>
    <row r="81" spans="2:12" x14ac:dyDescent="0.25">
      <c r="C81" s="95">
        <f>$L$40</f>
        <v>41.5</v>
      </c>
      <c r="E81" s="91">
        <f t="shared" ca="1" si="8"/>
        <v>3.7069877527257309</v>
      </c>
      <c r="F81" s="97">
        <f t="shared" ca="1" si="9"/>
        <v>0.29958362417508821</v>
      </c>
      <c r="G81" s="38">
        <f t="shared" si="12"/>
        <v>-5227.2499999999991</v>
      </c>
      <c r="H81" s="43">
        <v>0</v>
      </c>
      <c r="I81" s="43">
        <v>0</v>
      </c>
      <c r="J81" s="43">
        <v>0</v>
      </c>
      <c r="K81" s="43">
        <v>0</v>
      </c>
      <c r="L81" s="36">
        <f ca="1"/>
        <v>19377.351730435574</v>
      </c>
    </row>
    <row r="82" spans="2:12" x14ac:dyDescent="0.25">
      <c r="C82" s="29" t="s">
        <v>190</v>
      </c>
      <c r="E82" s="91"/>
      <c r="F82" s="97"/>
      <c r="G82" s="38"/>
      <c r="H82" s="38"/>
      <c r="I82" s="38"/>
      <c r="J82" s="38"/>
      <c r="K82" s="38"/>
      <c r="L82" s="36"/>
    </row>
    <row r="83" spans="2:12" x14ac:dyDescent="0.25">
      <c r="C83" s="95">
        <f>$H$40</f>
        <v>21.5</v>
      </c>
      <c r="E83" s="91">
        <f t="shared" ca="1" si="8"/>
        <v>1.7885520684489531</v>
      </c>
      <c r="F83" s="97">
        <f t="shared" ca="1" si="9"/>
        <v>0.12331179109070112</v>
      </c>
      <c r="G83" s="38">
        <f>-$H$15</f>
        <v>-31323.53640233702</v>
      </c>
      <c r="H83" s="43">
        <v>0</v>
      </c>
      <c r="I83" s="43">
        <v>0</v>
      </c>
      <c r="J83" s="43">
        <v>0</v>
      </c>
      <c r="K83" s="43">
        <v>0</v>
      </c>
      <c r="L83" s="36" cm="1">
        <f t="array" aca="1" ref="L83:L87" ca="1">TRANSPOSE(H53:L53)</f>
        <v>56023.775823535958</v>
      </c>
    </row>
    <row r="84" spans="2:12" x14ac:dyDescent="0.25">
      <c r="C84" s="95">
        <f>$I$40</f>
        <v>26.5</v>
      </c>
      <c r="E84" s="91">
        <f t="shared" ca="1" si="8"/>
        <v>2.2681609895181474</v>
      </c>
      <c r="F84" s="97">
        <f t="shared" ca="1" si="9"/>
        <v>0.17797147866395058</v>
      </c>
      <c r="G84" s="38">
        <f t="shared" ref="G84:G87" si="13">-$H$15</f>
        <v>-31323.53640233702</v>
      </c>
      <c r="H84" s="43">
        <v>0</v>
      </c>
      <c r="I84" s="43">
        <v>0</v>
      </c>
      <c r="J84" s="43">
        <v>0</v>
      </c>
      <c r="K84" s="43">
        <v>0</v>
      </c>
      <c r="L84" s="36">
        <f ca="1"/>
        <v>71046.823321532444</v>
      </c>
    </row>
    <row r="85" spans="2:12" x14ac:dyDescent="0.25">
      <c r="C85" s="95">
        <f>$J$40</f>
        <v>31.5</v>
      </c>
      <c r="E85" s="91">
        <f t="shared" ca="1" si="8"/>
        <v>2.7477699105873428</v>
      </c>
      <c r="F85" s="97">
        <f t="shared" ca="1" si="9"/>
        <v>0.22404130350762963</v>
      </c>
      <c r="G85" s="38">
        <f t="shared" si="13"/>
        <v>-31323.53640233702</v>
      </c>
      <c r="H85" s="43">
        <v>0</v>
      </c>
      <c r="I85" s="43">
        <v>0</v>
      </c>
      <c r="J85" s="43">
        <v>0</v>
      </c>
      <c r="K85" s="43">
        <v>0</v>
      </c>
      <c r="L85" s="36">
        <f ca="1"/>
        <v>86069.870819528966</v>
      </c>
    </row>
    <row r="86" spans="2:12" x14ac:dyDescent="0.25">
      <c r="C86" s="95">
        <f>$K$40</f>
        <v>36.5</v>
      </c>
      <c r="E86" s="91">
        <f t="shared" ca="1" si="8"/>
        <v>3.2273788316565368</v>
      </c>
      <c r="F86" s="97">
        <f t="shared" ca="1" si="9"/>
        <v>0.26406669594419552</v>
      </c>
      <c r="G86" s="38">
        <f t="shared" si="13"/>
        <v>-31323.53640233702</v>
      </c>
      <c r="H86" s="43">
        <v>0</v>
      </c>
      <c r="I86" s="43">
        <v>0</v>
      </c>
      <c r="J86" s="43">
        <v>0</v>
      </c>
      <c r="K86" s="43">
        <v>0</v>
      </c>
      <c r="L86" s="36">
        <f ca="1"/>
        <v>101092.91831752546</v>
      </c>
    </row>
    <row r="87" spans="2:12" x14ac:dyDescent="0.25">
      <c r="C87" s="98">
        <f>$L$40</f>
        <v>41.5</v>
      </c>
      <c r="D87" s="2"/>
      <c r="E87" s="99">
        <f t="shared" ca="1" si="8"/>
        <v>3.7069877527257309</v>
      </c>
      <c r="F87" s="100">
        <f t="shared" ca="1" si="9"/>
        <v>0.29958362417508821</v>
      </c>
      <c r="G87" s="59">
        <f t="shared" si="13"/>
        <v>-31323.53640233702</v>
      </c>
      <c r="H87" s="101">
        <v>0</v>
      </c>
      <c r="I87" s="101">
        <v>0</v>
      </c>
      <c r="J87" s="101">
        <v>0</v>
      </c>
      <c r="K87" s="101">
        <v>0</v>
      </c>
      <c r="L87" s="41">
        <f ca="1"/>
        <v>116115.96581552194</v>
      </c>
    </row>
    <row r="90" spans="2:12" x14ac:dyDescent="0.25">
      <c r="B90" s="1" t="s">
        <v>72</v>
      </c>
      <c r="C90" s="233" t="s">
        <v>266</v>
      </c>
      <c r="D90" s="231"/>
      <c r="E90" s="231"/>
      <c r="F90" s="231"/>
      <c r="G90" s="231"/>
      <c r="H90" s="231"/>
      <c r="I90" s="231"/>
      <c r="J90" s="231"/>
      <c r="K90" s="231"/>
      <c r="L90" s="230"/>
    </row>
    <row r="91" spans="2:12" x14ac:dyDescent="0.25">
      <c r="C91" s="249" t="s">
        <v>367</v>
      </c>
      <c r="D91" s="323"/>
      <c r="E91" s="323"/>
      <c r="F91" s="323"/>
      <c r="G91" s="310" t="s">
        <v>191</v>
      </c>
      <c r="H91" s="310" t="s">
        <v>192</v>
      </c>
      <c r="I91" s="310" t="s">
        <v>193</v>
      </c>
      <c r="J91" s="310" t="s">
        <v>184</v>
      </c>
      <c r="K91" s="310" t="s">
        <v>194</v>
      </c>
      <c r="L91" s="324"/>
    </row>
    <row r="92" spans="2:12" x14ac:dyDescent="0.25">
      <c r="C92" s="29"/>
      <c r="G92" s="24"/>
      <c r="H92" s="24"/>
      <c r="J92" s="24"/>
      <c r="K92" s="24"/>
      <c r="L92" s="30"/>
    </row>
    <row r="93" spans="2:12" x14ac:dyDescent="0.25">
      <c r="C93" s="29" t="s">
        <v>66</v>
      </c>
      <c r="G93" s="103">
        <f>H9</f>
        <v>0</v>
      </c>
      <c r="H93" s="97">
        <f>G93/$G$100</f>
        <v>0</v>
      </c>
      <c r="I93" s="60"/>
      <c r="J93" s="91" t="str">
        <f ca="1">E61</f>
        <v>NM</v>
      </c>
      <c r="K93" s="97">
        <f ca="1">F61</f>
        <v>0</v>
      </c>
      <c r="L93" s="30"/>
    </row>
    <row r="94" spans="2:12" x14ac:dyDescent="0.25">
      <c r="C94" s="29" t="s">
        <v>214</v>
      </c>
      <c r="G94" s="103">
        <f>H10</f>
        <v>18025</v>
      </c>
      <c r="H94" s="97">
        <f t="shared" ref="H94:H99" si="14">G94/$G$100</f>
        <v>0.33027467285800105</v>
      </c>
      <c r="I94" s="60"/>
      <c r="J94" s="91">
        <f ca="1">E62</f>
        <v>1.2845112202261235</v>
      </c>
      <c r="K94" s="97">
        <f t="shared" ref="K94:K95" ca="1" si="15">F62</f>
        <v>6.7106428883871416E-2</v>
      </c>
      <c r="L94" s="30"/>
    </row>
    <row r="95" spans="2:12" x14ac:dyDescent="0.25">
      <c r="C95" s="29" t="s">
        <v>131</v>
      </c>
      <c r="G95" s="103">
        <f>H11</f>
        <v>0</v>
      </c>
      <c r="H95" s="97">
        <f t="shared" si="14"/>
        <v>0</v>
      </c>
      <c r="I95" s="60"/>
      <c r="J95" s="91" t="str">
        <f>E63</f>
        <v>NM</v>
      </c>
      <c r="K95" s="97">
        <f t="shared" si="15"/>
        <v>0</v>
      </c>
      <c r="L95" s="30"/>
    </row>
    <row r="96" spans="2:12" x14ac:dyDescent="0.25">
      <c r="C96" s="29" t="s">
        <v>177</v>
      </c>
      <c r="G96" s="103">
        <f>H12</f>
        <v>0</v>
      </c>
      <c r="H96" s="97">
        <f t="shared" si="14"/>
        <v>0</v>
      </c>
      <c r="I96" s="97">
        <f>G56</f>
        <v>0</v>
      </c>
      <c r="J96" s="91" t="str">
        <f ca="1">E67</f>
        <v>NM</v>
      </c>
      <c r="K96" s="97">
        <f ca="1">F67</f>
        <v>0</v>
      </c>
      <c r="L96" s="30"/>
    </row>
    <row r="97" spans="2:13" x14ac:dyDescent="0.25">
      <c r="C97" s="29" t="s">
        <v>181</v>
      </c>
      <c r="G97" s="103">
        <f>H13</f>
        <v>0</v>
      </c>
      <c r="H97" s="97">
        <f t="shared" si="14"/>
        <v>0</v>
      </c>
      <c r="I97" s="97">
        <f>G55</f>
        <v>0</v>
      </c>
      <c r="J97" s="91" t="str">
        <f ca="1">E73</f>
        <v>NM</v>
      </c>
      <c r="K97" s="97">
        <f ca="1">F73</f>
        <v>0</v>
      </c>
      <c r="L97" s="30"/>
    </row>
    <row r="98" spans="2:13" x14ac:dyDescent="0.25">
      <c r="C98" s="29" t="s">
        <v>201</v>
      </c>
      <c r="G98" s="103">
        <f>H14</f>
        <v>5227.2499999999991</v>
      </c>
      <c r="H98" s="97">
        <f t="shared" si="14"/>
        <v>9.5779655128820279E-2</v>
      </c>
      <c r="I98" s="97">
        <f>G54</f>
        <v>0.14301333882287617</v>
      </c>
      <c r="J98" s="91">
        <f ca="1">E79</f>
        <v>2.7477699105873428</v>
      </c>
      <c r="K98" s="97">
        <f ca="1">F79</f>
        <v>0.22404130350762963</v>
      </c>
      <c r="L98" s="30"/>
    </row>
    <row r="99" spans="2:13" x14ac:dyDescent="0.25">
      <c r="C99" s="31" t="s">
        <v>180</v>
      </c>
      <c r="D99" s="2"/>
      <c r="E99" s="2"/>
      <c r="F99" s="2"/>
      <c r="G99" s="104">
        <f>H15</f>
        <v>31323.53640233702</v>
      </c>
      <c r="H99" s="100">
        <f t="shared" si="14"/>
        <v>0.5739456720131787</v>
      </c>
      <c r="I99" s="100">
        <f>G53</f>
        <v>0.85698666117712385</v>
      </c>
      <c r="J99" s="99">
        <f ca="1">E85</f>
        <v>2.7477699105873428</v>
      </c>
      <c r="K99" s="100">
        <f ca="1">F85</f>
        <v>0.22404130350762963</v>
      </c>
      <c r="L99" s="32"/>
    </row>
    <row r="100" spans="2:13" x14ac:dyDescent="0.25">
      <c r="C100" s="249" t="s">
        <v>195</v>
      </c>
      <c r="D100" s="250"/>
      <c r="E100" s="250"/>
      <c r="F100" s="250"/>
      <c r="G100" s="325">
        <f>SUM(G93:G99)</f>
        <v>54575.78640233702</v>
      </c>
      <c r="H100" s="326">
        <f>SUM(H93:H99)</f>
        <v>1</v>
      </c>
      <c r="I100" s="326">
        <f>SUM(I93:I99)</f>
        <v>1</v>
      </c>
      <c r="J100" s="250"/>
      <c r="K100" s="250"/>
      <c r="L100" s="298"/>
    </row>
    <row r="103" spans="2:13" x14ac:dyDescent="0.25">
      <c r="B103" s="1" t="s">
        <v>72</v>
      </c>
      <c r="C103" s="233" t="s">
        <v>196</v>
      </c>
      <c r="D103" s="231"/>
      <c r="E103" s="231"/>
      <c r="F103" s="231"/>
      <c r="G103" s="231"/>
      <c r="H103" s="231"/>
      <c r="I103" s="231"/>
      <c r="J103" s="231"/>
      <c r="K103" s="231"/>
      <c r="L103" s="230"/>
    </row>
    <row r="104" spans="2:13" x14ac:dyDescent="0.25">
      <c r="L104" s="57"/>
    </row>
    <row r="105" spans="2:13" x14ac:dyDescent="0.25">
      <c r="C105" s="159"/>
      <c r="D105" s="150" t="s">
        <v>267</v>
      </c>
      <c r="E105"/>
      <c r="F105" s="327" t="s">
        <v>268</v>
      </c>
      <c r="G105" s="328"/>
      <c r="H105" s="328"/>
      <c r="I105" s="328"/>
      <c r="J105" s="328"/>
      <c r="K105" s="328"/>
      <c r="L105" s="306"/>
    </row>
    <row r="106" spans="2:13" x14ac:dyDescent="0.25">
      <c r="C106" s="77" t="s">
        <v>269</v>
      </c>
      <c r="D106" s="151">
        <f ca="1">K99</f>
        <v>0.22404130350762963</v>
      </c>
      <c r="E106"/>
      <c r="F106" s="112">
        <v>0.1</v>
      </c>
      <c r="G106" s="105">
        <f>F106+0.05</f>
        <v>0.15000000000000002</v>
      </c>
      <c r="H106" s="105">
        <f t="shared" ref="H106:L106" si="16">G106+0.05</f>
        <v>0.2</v>
      </c>
      <c r="I106" s="105">
        <f t="shared" si="16"/>
        <v>0.25</v>
      </c>
      <c r="J106" s="105">
        <f t="shared" si="16"/>
        <v>0.3</v>
      </c>
      <c r="K106" s="105">
        <f t="shared" si="16"/>
        <v>0.35</v>
      </c>
      <c r="L106" s="105">
        <f t="shared" si="16"/>
        <v>0.39999999999999997</v>
      </c>
      <c r="M106" s="29"/>
    </row>
    <row r="107" spans="2:13" x14ac:dyDescent="0.25">
      <c r="C107" s="77" t="s">
        <v>237</v>
      </c>
      <c r="D107" s="152">
        <f>D31</f>
        <v>54198.419305807984</v>
      </c>
      <c r="E107"/>
      <c r="F107" s="113">
        <f ca="1">-PV(F106,5,0,$J$53)+SUM($H$8:$H$14)-$L$9-$L$10</f>
        <v>76317.500968263441</v>
      </c>
      <c r="G107" s="107">
        <f ca="1">-PV(G106,5,0,$J$53)+SUM($H$8:$H$14)-$L$9-$L$10</f>
        <v>65666.820285069916</v>
      </c>
      <c r="H107" s="107">
        <f ca="1">-PV(H106,5,0,$J$53)+SUM($H$8:$H$14)-$L$9-$L$10</f>
        <v>57464.433612193701</v>
      </c>
      <c r="I107" s="107">
        <f ca="1">-PV(I106,5,0,$J$53)+SUM($H$8:$H$14)-$L$9-$L$10</f>
        <v>51078.258173614217</v>
      </c>
      <c r="J107" s="107">
        <f ca="1">-PV(J106,5,0,$J$53)+SUM($H$8:$H$14)-$L$9-$L$10</f>
        <v>46056.001540108053</v>
      </c>
      <c r="K107" s="107">
        <f ca="1">-PV(K106,5,0,$J$53)+SUM($H$8:$H$14)-$L$9-$L$10</f>
        <v>42069.626211967741</v>
      </c>
      <c r="L107" s="114">
        <f ca="1">-PV(L106,5,0,$J$53)+SUM($H$8:$H$14)-$L$9-$L$10</f>
        <v>38878.235453660061</v>
      </c>
    </row>
    <row r="108" spans="2:13" x14ac:dyDescent="0.25">
      <c r="C108" s="77" t="s">
        <v>270</v>
      </c>
      <c r="D108" s="153">
        <f>D32</f>
        <v>258.08771098003803</v>
      </c>
      <c r="E108"/>
      <c r="F108" s="115">
        <f>$D$108</f>
        <v>258.08771098003803</v>
      </c>
      <c r="G108" s="108">
        <f t="shared" ref="G108:L108" si="17">$D$108</f>
        <v>258.08771098003803</v>
      </c>
      <c r="H108" s="108">
        <f t="shared" si="17"/>
        <v>258.08771098003803</v>
      </c>
      <c r="I108" s="108">
        <f t="shared" si="17"/>
        <v>258.08771098003803</v>
      </c>
      <c r="J108" s="108">
        <f t="shared" si="17"/>
        <v>258.08771098003803</v>
      </c>
      <c r="K108" s="108">
        <f t="shared" si="17"/>
        <v>258.08771098003803</v>
      </c>
      <c r="L108" s="116">
        <f t="shared" si="17"/>
        <v>258.08771098003803</v>
      </c>
    </row>
    <row r="109" spans="2:13" x14ac:dyDescent="0.25">
      <c r="C109" s="77" t="s">
        <v>271</v>
      </c>
      <c r="D109" s="154">
        <f>D34</f>
        <v>210</v>
      </c>
      <c r="E109"/>
      <c r="F109" s="117">
        <f ca="1">F107/F108</f>
        <v>295.70373838592519</v>
      </c>
      <c r="G109" s="109">
        <f t="shared" ref="G109:L109" ca="1" si="18">G107/G108</f>
        <v>254.43605987946074</v>
      </c>
      <c r="H109" s="109">
        <f t="shared" ca="1" si="18"/>
        <v>222.65466803507869</v>
      </c>
      <c r="I109" s="109">
        <f t="shared" ca="1" si="18"/>
        <v>197.91046222098075</v>
      </c>
      <c r="J109" s="109">
        <f t="shared" ca="1" si="18"/>
        <v>178.45096678652121</v>
      </c>
      <c r="K109" s="109">
        <f t="shared" ca="1" si="18"/>
        <v>163.00515066066686</v>
      </c>
      <c r="L109" s="118">
        <f t="shared" ca="1" si="18"/>
        <v>150.63962288645013</v>
      </c>
    </row>
    <row r="110" spans="2:13" x14ac:dyDescent="0.25">
      <c r="C110" s="160" t="s">
        <v>272</v>
      </c>
      <c r="D110" s="155">
        <f>D35</f>
        <v>0.24762357414448677</v>
      </c>
      <c r="E110"/>
      <c r="F110" s="119">
        <f ca="1">F109/$D$9-1</f>
        <v>0.75679502368063933</v>
      </c>
      <c r="G110" s="111">
        <f t="shared" ref="G110:L110" ca="1" si="19">G109/$D$9-1</f>
        <v>0.51162107818120695</v>
      </c>
      <c r="H110" s="111">
        <f t="shared" ca="1" si="19"/>
        <v>0.32280577492323359</v>
      </c>
      <c r="I110" s="111">
        <f t="shared" ca="1" si="19"/>
        <v>0.17579884874632112</v>
      </c>
      <c r="J110" s="111">
        <f t="shared" ca="1" si="19"/>
        <v>6.0188728532089009E-2</v>
      </c>
      <c r="K110" s="111">
        <f t="shared" ca="1" si="19"/>
        <v>-3.1575863470372667E-2</v>
      </c>
      <c r="L110" s="120">
        <f t="shared" ca="1" si="19"/>
        <v>-0.10504026326966409</v>
      </c>
    </row>
    <row r="111" spans="2:13" x14ac:dyDescent="0.25">
      <c r="C111" s="160"/>
      <c r="D111" s="156"/>
      <c r="E111"/>
      <c r="F111" s="121"/>
      <c r="G111" s="110"/>
      <c r="H111" s="110"/>
      <c r="I111" s="110"/>
      <c r="J111" s="110"/>
      <c r="K111" s="110"/>
      <c r="L111" s="30"/>
    </row>
    <row r="112" spans="2:13" x14ac:dyDescent="0.25">
      <c r="C112" s="161" t="s">
        <v>153</v>
      </c>
      <c r="D112" s="157">
        <f>D26</f>
        <v>53834.419305807984</v>
      </c>
      <c r="E112"/>
      <c r="F112" s="113">
        <f ca="1">F107-$D$13-$D$14</f>
        <v>75953.500968263441</v>
      </c>
      <c r="G112" s="107">
        <f t="shared" ref="G112:L112" ca="1" si="20">G107-$D$13-$D$14</f>
        <v>65302.820285069916</v>
      </c>
      <c r="H112" s="107">
        <f t="shared" ca="1" si="20"/>
        <v>57100.433612193701</v>
      </c>
      <c r="I112" s="107">
        <f t="shared" ca="1" si="20"/>
        <v>50714.258173614217</v>
      </c>
      <c r="J112" s="107">
        <f t="shared" ca="1" si="20"/>
        <v>45692.001540108053</v>
      </c>
      <c r="K112" s="107">
        <f t="shared" ca="1" si="20"/>
        <v>41705.626211967741</v>
      </c>
      <c r="L112" s="114">
        <f t="shared" ca="1" si="20"/>
        <v>38514.235453660061</v>
      </c>
    </row>
    <row r="113" spans="3:12" x14ac:dyDescent="0.25">
      <c r="C113" s="162" t="s">
        <v>273</v>
      </c>
      <c r="D113" s="158">
        <f>D25</f>
        <v>20.906570604197274</v>
      </c>
      <c r="E113"/>
      <c r="F113" s="122">
        <f ca="1">F112/$D$12</f>
        <v>29.49650523039357</v>
      </c>
      <c r="G113" s="123">
        <f t="shared" ref="G113:L113" ca="1" si="21">G112/$D$12</f>
        <v>25.360318557308705</v>
      </c>
      <c r="H113" s="123">
        <f t="shared" ca="1" si="21"/>
        <v>22.174925674638331</v>
      </c>
      <c r="I113" s="123">
        <f t="shared" ca="1" si="21"/>
        <v>19.694857543151151</v>
      </c>
      <c r="J113" s="123">
        <f t="shared" ca="1" si="21"/>
        <v>17.744466617517691</v>
      </c>
      <c r="K113" s="123">
        <f t="shared" ca="1" si="21"/>
        <v>16.196359693968056</v>
      </c>
      <c r="L113" s="124">
        <f t="shared" ca="1" si="21"/>
        <v>14.956984642198082</v>
      </c>
    </row>
    <row r="116" spans="3:12" x14ac:dyDescent="0.25">
      <c r="C116" s="329" t="s">
        <v>275</v>
      </c>
      <c r="F116" s="331" t="s">
        <v>281</v>
      </c>
      <c r="G116" s="332"/>
      <c r="H116" s="332"/>
      <c r="I116" s="333"/>
      <c r="J116" s="332"/>
      <c r="K116" s="332"/>
      <c r="L116" s="334"/>
    </row>
    <row r="117" spans="3:12" x14ac:dyDescent="0.25">
      <c r="C117" s="330">
        <v>0.25</v>
      </c>
      <c r="F117" s="137" t="s">
        <v>282</v>
      </c>
      <c r="G117" s="21"/>
      <c r="H117" s="21"/>
      <c r="I117" s="21"/>
      <c r="J117" s="21"/>
      <c r="K117" s="21"/>
      <c r="L117" s="138"/>
    </row>
    <row r="118" spans="3:12" x14ac:dyDescent="0.25">
      <c r="F118" s="72"/>
      <c r="G118"/>
      <c r="H118" s="139"/>
      <c r="I118" s="140"/>
      <c r="J118" s="140"/>
      <c r="K118" s="140"/>
      <c r="L118" s="141"/>
    </row>
    <row r="119" spans="3:12" x14ac:dyDescent="0.25">
      <c r="F119" s="72"/>
      <c r="G119" s="128" t="s">
        <v>280</v>
      </c>
      <c r="H119" s="129"/>
      <c r="I119" s="130"/>
      <c r="J119" s="130"/>
      <c r="K119" s="130"/>
      <c r="L119" s="142"/>
    </row>
    <row r="120" spans="3:12" x14ac:dyDescent="0.25">
      <c r="F120" s="143"/>
      <c r="G120" s="133">
        <f ca="1">K99</f>
        <v>0.22404130350762963</v>
      </c>
      <c r="H120" s="132">
        <v>5</v>
      </c>
      <c r="I120" s="131">
        <f>H120+2</f>
        <v>7</v>
      </c>
      <c r="J120" s="131">
        <f t="shared" ref="J120:L120" si="22">I120+2</f>
        <v>9</v>
      </c>
      <c r="K120" s="131">
        <f t="shared" si="22"/>
        <v>11</v>
      </c>
      <c r="L120" s="144">
        <f t="shared" si="22"/>
        <v>13</v>
      </c>
    </row>
    <row r="121" spans="3:12" x14ac:dyDescent="0.25">
      <c r="F121" s="145" t="s">
        <v>186</v>
      </c>
      <c r="G121" s="135">
        <v>15</v>
      </c>
      <c r="H121" s="134">
        <f t="dataTable" ref="H121:L125" dt2D="1" dtr="1" r1="G10" r2="E25" ca="1"/>
        <v>0.20786328699136081</v>
      </c>
      <c r="I121" s="146">
        <v>0.22404130405148681</v>
      </c>
      <c r="J121" s="146">
        <v>0.2442004641469151</v>
      </c>
      <c r="K121" s="146">
        <v>0.27011341070632167</v>
      </c>
      <c r="L121" s="83">
        <v>0.30486689201352157</v>
      </c>
    </row>
    <row r="122" spans="3:12" x14ac:dyDescent="0.25">
      <c r="F122" s="145" t="s">
        <v>23</v>
      </c>
      <c r="G122" s="136">
        <f>G121+3</f>
        <v>18</v>
      </c>
      <c r="H122" s="134">
        <v>0.20786328728069847</v>
      </c>
      <c r="I122" s="146">
        <v>0.22404130405148681</v>
      </c>
      <c r="J122" s="146">
        <v>0.2442004641469151</v>
      </c>
      <c r="K122" s="146">
        <v>0.27011341070632167</v>
      </c>
      <c r="L122" s="83">
        <v>0.30486689201352157</v>
      </c>
    </row>
    <row r="123" spans="3:12" x14ac:dyDescent="0.25">
      <c r="F123" s="145" t="s">
        <v>283</v>
      </c>
      <c r="G123" s="136">
        <f t="shared" ref="G123:G125" si="23">G122+3</f>
        <v>21</v>
      </c>
      <c r="H123" s="134">
        <v>0.20786328728069847</v>
      </c>
      <c r="I123" s="146">
        <v>0.22404130405148681</v>
      </c>
      <c r="J123" s="146">
        <v>0.2442004641469151</v>
      </c>
      <c r="K123" s="146">
        <v>0.27011341070632167</v>
      </c>
      <c r="L123" s="83">
        <v>0.30486689201352157</v>
      </c>
    </row>
    <row r="124" spans="3:12" x14ac:dyDescent="0.25">
      <c r="F124" s="143"/>
      <c r="G124" s="136">
        <f t="shared" si="23"/>
        <v>24</v>
      </c>
      <c r="H124" s="134">
        <v>0.20786328728069847</v>
      </c>
      <c r="I124" s="146">
        <v>0.22404130405148681</v>
      </c>
      <c r="J124" s="146">
        <v>0.2442004641469151</v>
      </c>
      <c r="K124" s="146">
        <v>0.27011341070632167</v>
      </c>
      <c r="L124" s="83">
        <v>0.30486689201352157</v>
      </c>
    </row>
    <row r="125" spans="3:12" x14ac:dyDescent="0.25">
      <c r="F125" s="31"/>
      <c r="G125" s="149">
        <f t="shared" si="23"/>
        <v>27</v>
      </c>
      <c r="H125" s="148">
        <v>0.20786328728069847</v>
      </c>
      <c r="I125" s="47">
        <v>0.22404130405148681</v>
      </c>
      <c r="J125" s="47">
        <v>0.2442004641469151</v>
      </c>
      <c r="K125" s="47">
        <v>0.27011341070632167</v>
      </c>
      <c r="L125" s="48">
        <v>0.30486689201352157</v>
      </c>
    </row>
    <row r="127" spans="3:12" x14ac:dyDescent="0.25">
      <c r="F127" s="331" t="s">
        <v>276</v>
      </c>
      <c r="G127" s="332"/>
      <c r="H127" s="332"/>
      <c r="I127" s="333"/>
      <c r="J127" s="332"/>
      <c r="K127" s="332"/>
      <c r="L127" s="334"/>
    </row>
    <row r="128" spans="3:12" x14ac:dyDescent="0.25">
      <c r="F128" s="137" t="s">
        <v>277</v>
      </c>
      <c r="G128" s="21"/>
      <c r="H128" s="21"/>
      <c r="I128" s="21"/>
      <c r="J128" s="21"/>
      <c r="K128" s="21"/>
      <c r="L128" s="138"/>
    </row>
    <row r="129" spans="6:12" x14ac:dyDescent="0.25">
      <c r="F129" s="72"/>
      <c r="G129"/>
      <c r="H129" s="139"/>
      <c r="I129" s="140"/>
      <c r="J129" s="140"/>
      <c r="K129" s="140"/>
      <c r="L129" s="141"/>
    </row>
    <row r="130" spans="6:12" x14ac:dyDescent="0.25">
      <c r="F130" s="72"/>
      <c r="G130" s="128" t="s">
        <v>280</v>
      </c>
      <c r="H130" s="129"/>
      <c r="I130" s="130"/>
      <c r="J130" s="130"/>
      <c r="K130" s="130"/>
      <c r="L130" s="142"/>
    </row>
    <row r="131" spans="6:12" x14ac:dyDescent="0.25">
      <c r="F131" s="143"/>
      <c r="G131" s="133">
        <f ca="1">K99</f>
        <v>0.22404130350762963</v>
      </c>
      <c r="H131" s="132">
        <v>5</v>
      </c>
      <c r="I131" s="131">
        <f>H131+2</f>
        <v>7</v>
      </c>
      <c r="J131" s="131">
        <f t="shared" ref="J131:L131" si="24">I131+2</f>
        <v>9</v>
      </c>
      <c r="K131" s="131">
        <f t="shared" si="24"/>
        <v>11</v>
      </c>
      <c r="L131" s="144">
        <f t="shared" si="24"/>
        <v>13</v>
      </c>
    </row>
    <row r="132" spans="6:12" x14ac:dyDescent="0.25">
      <c r="F132" s="145" t="s">
        <v>186</v>
      </c>
      <c r="G132" s="126">
        <v>200</v>
      </c>
      <c r="H132" s="134">
        <f t="dataTable" ref="H132:L136" dt2D="1" dtr="1" r1="G10" r2="F34" ca="1"/>
        <v>0.22350686765823014</v>
      </c>
      <c r="I132" s="146">
        <v>0.24219432974877519</v>
      </c>
      <c r="J132" s="146">
        <v>0.26578414614635171</v>
      </c>
      <c r="K132" s="146">
        <v>0.2966516269092625</v>
      </c>
      <c r="L132" s="83">
        <v>0.3391417957377949</v>
      </c>
    </row>
    <row r="133" spans="6:12" x14ac:dyDescent="0.25">
      <c r="F133" s="145" t="s">
        <v>278</v>
      </c>
      <c r="G133" s="125">
        <f>G132+5</f>
        <v>205</v>
      </c>
      <c r="H133" s="134">
        <v>0.21553412709465913</v>
      </c>
      <c r="I133" s="146">
        <v>0.23291743762593775</v>
      </c>
      <c r="J133" s="146">
        <v>0.25471399300450615</v>
      </c>
      <c r="K133" s="146">
        <v>0.28297113469083301</v>
      </c>
      <c r="L133" s="83">
        <v>0.32133835824836066</v>
      </c>
    </row>
    <row r="134" spans="6:12" x14ac:dyDescent="0.25">
      <c r="F134" s="145" t="s">
        <v>279</v>
      </c>
      <c r="G134" s="125">
        <f t="shared" ref="G134:G136" si="25">G133+5</f>
        <v>210</v>
      </c>
      <c r="H134" s="134">
        <v>0.20786328728069847</v>
      </c>
      <c r="I134" s="146">
        <v>0.22404130405148681</v>
      </c>
      <c r="J134" s="146">
        <v>0.2442004641469151</v>
      </c>
      <c r="K134" s="146">
        <v>0.27011341070632167</v>
      </c>
      <c r="L134" s="83">
        <v>0.30486689201352157</v>
      </c>
    </row>
    <row r="135" spans="6:12" x14ac:dyDescent="0.25">
      <c r="F135" s="143"/>
      <c r="G135" s="125">
        <f t="shared" si="25"/>
        <v>215</v>
      </c>
      <c r="H135" s="134">
        <v>0.20047402973650863</v>
      </c>
      <c r="I135" s="146">
        <v>0.21553528965578317</v>
      </c>
      <c r="J135" s="146">
        <v>0.23419430661425222</v>
      </c>
      <c r="K135" s="146">
        <v>0.25799205321714669</v>
      </c>
      <c r="L135" s="83">
        <v>0.28955538422175064</v>
      </c>
    </row>
    <row r="136" spans="6:12" x14ac:dyDescent="0.25">
      <c r="F136" s="31"/>
      <c r="G136" s="147">
        <f t="shared" si="25"/>
        <v>220</v>
      </c>
      <c r="H136" s="148">
        <v>0.19334796586243153</v>
      </c>
      <c r="I136" s="47">
        <v>0.20737204813711951</v>
      </c>
      <c r="J136" s="47">
        <v>0.22465236208112849</v>
      </c>
      <c r="K136" s="47">
        <v>0.24653325855056218</v>
      </c>
      <c r="L136" s="48">
        <v>0.27526234803968408</v>
      </c>
    </row>
    <row r="137" spans="6:12" x14ac:dyDescent="0.25">
      <c r="G137" s="127"/>
    </row>
  </sheetData>
  <conditionalFormatting sqref="F116:L116 F118:L125">
    <cfRule type="expression" dxfId="6" priority="5">
      <formula>$D$21=2</formula>
    </cfRule>
  </conditionalFormatting>
  <conditionalFormatting sqref="F116:L125">
    <cfRule type="expression" dxfId="5" priority="6">
      <formula>$D$21=2</formula>
    </cfRule>
  </conditionalFormatting>
  <conditionalFormatting sqref="F117:L117">
    <cfRule type="expression" dxfId="4" priority="1">
      <formula>$D$21=1</formula>
    </cfRule>
  </conditionalFormatting>
  <conditionalFormatting sqref="F127:L127 F129:L136">
    <cfRule type="expression" dxfId="3" priority="3">
      <formula>$D$21=1</formula>
    </cfRule>
  </conditionalFormatting>
  <conditionalFormatting sqref="F127:L136">
    <cfRule type="expression" dxfId="2" priority="4">
      <formula>$D$21=1</formula>
    </cfRule>
  </conditionalFormatting>
  <conditionalFormatting sqref="F128:L128">
    <cfRule type="expression" dxfId="1" priority="2">
      <formula>$D$21=2</formula>
    </cfRule>
  </conditionalFormatting>
  <conditionalFormatting sqref="H121:L125 H132:L136">
    <cfRule type="cellIs" dxfId="0" priority="7" operator="greaterThan">
      <formula>$C$117</formula>
    </cfRule>
  </conditionalFormatting>
  <dataValidations count="1">
    <dataValidation type="list" allowBlank="1" showInputMessage="1" showErrorMessage="1" sqref="D21" xr:uid="{BE54DC97-B2FA-462C-A7F8-8A00C64DD563}">
      <formula1>"1,2"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D7F0-BA19-418C-AD39-BBB2CC29DF39}">
  <dimension ref="B2:M265"/>
  <sheetViews>
    <sheetView showGridLines="0" workbookViewId="0">
      <selection activeCell="F214" sqref="F214"/>
    </sheetView>
  </sheetViews>
  <sheetFormatPr defaultRowHeight="15" x14ac:dyDescent="0.25"/>
  <cols>
    <col min="1" max="2" width="2.140625" customWidth="1"/>
    <col min="3" max="3" width="73.28515625" bestFit="1" customWidth="1"/>
    <col min="4" max="11" width="13.28515625" customWidth="1"/>
  </cols>
  <sheetData>
    <row r="2" spans="2:11" ht="19.5" x14ac:dyDescent="0.3">
      <c r="C2" s="211" t="s">
        <v>2</v>
      </c>
      <c r="D2" s="212"/>
      <c r="E2" s="212"/>
      <c r="F2" s="212"/>
      <c r="G2" s="212"/>
      <c r="H2" s="212"/>
      <c r="I2" s="212"/>
      <c r="J2" s="212"/>
      <c r="K2" s="213"/>
    </row>
    <row r="3" spans="2:11" x14ac:dyDescent="0.25">
      <c r="C3" s="214" t="s">
        <v>1</v>
      </c>
      <c r="D3" s="215"/>
      <c r="E3" s="215"/>
      <c r="F3" s="215"/>
      <c r="G3" s="215"/>
      <c r="H3" s="215"/>
      <c r="I3" s="215"/>
      <c r="J3" s="215"/>
      <c r="K3" s="216"/>
    </row>
    <row r="4" spans="2:11" x14ac:dyDescent="0.25">
      <c r="C4" s="20"/>
      <c r="D4" s="1"/>
      <c r="E4" s="1"/>
      <c r="F4" s="1"/>
      <c r="G4" s="1"/>
      <c r="H4" s="1"/>
      <c r="I4" s="1"/>
      <c r="J4" s="1"/>
      <c r="K4" s="1"/>
    </row>
    <row r="5" spans="2:11" x14ac:dyDescent="0.25">
      <c r="C5" s="20" t="s">
        <v>212</v>
      </c>
      <c r="D5" s="339">
        <v>1</v>
      </c>
      <c r="E5" s="1"/>
      <c r="F5" s="1"/>
      <c r="G5" s="1"/>
      <c r="H5" s="1"/>
      <c r="I5" s="1"/>
      <c r="J5" s="1"/>
      <c r="K5" s="1"/>
    </row>
    <row r="6" spans="2:11" x14ac:dyDescent="0.25">
      <c r="C6" s="20" t="s">
        <v>115</v>
      </c>
      <c r="D6" s="285">
        <v>45747</v>
      </c>
      <c r="E6" s="1"/>
      <c r="F6" s="1"/>
      <c r="G6" s="1"/>
      <c r="H6" s="1"/>
      <c r="I6" s="1"/>
      <c r="J6" s="1"/>
      <c r="K6" s="1"/>
    </row>
    <row r="7" spans="2:11" x14ac:dyDescent="0.25">
      <c r="C7" s="20" t="s">
        <v>116</v>
      </c>
      <c r="D7" s="286">
        <v>250.253713</v>
      </c>
      <c r="E7" s="1"/>
      <c r="F7" s="1"/>
      <c r="G7" s="1"/>
      <c r="H7" s="1"/>
      <c r="I7" s="1"/>
      <c r="J7" s="1"/>
      <c r="K7" s="1"/>
    </row>
    <row r="9" spans="2:11" x14ac:dyDescent="0.25">
      <c r="B9" t="s">
        <v>72</v>
      </c>
      <c r="C9" s="233" t="s">
        <v>4</v>
      </c>
      <c r="D9" s="234"/>
      <c r="E9" s="234"/>
      <c r="F9" s="234"/>
      <c r="G9" s="234"/>
      <c r="H9" s="234"/>
      <c r="I9" s="234"/>
      <c r="J9" s="234"/>
      <c r="K9" s="235"/>
    </row>
    <row r="10" spans="2:11" x14ac:dyDescent="0.25">
      <c r="C10" s="283" t="s">
        <v>5</v>
      </c>
      <c r="D10" s="275">
        <v>2023</v>
      </c>
      <c r="E10" s="275">
        <v>2024</v>
      </c>
      <c r="F10" s="275">
        <v>2025</v>
      </c>
      <c r="G10" s="276">
        <v>2026</v>
      </c>
      <c r="H10" s="276">
        <v>2027</v>
      </c>
      <c r="I10" s="276">
        <v>2028</v>
      </c>
      <c r="J10" s="276">
        <v>2029</v>
      </c>
      <c r="K10" s="276">
        <v>2030</v>
      </c>
    </row>
    <row r="11" spans="2:11" x14ac:dyDescent="0.25">
      <c r="C11" s="224" t="s">
        <v>6</v>
      </c>
      <c r="D11" s="225">
        <v>45016</v>
      </c>
      <c r="E11" s="225">
        <f>EOMONTH(D11,12)</f>
        <v>45382</v>
      </c>
      <c r="F11" s="225">
        <f t="shared" ref="F11:K11" si="0">EOMONTH(E11,12)</f>
        <v>45747</v>
      </c>
      <c r="G11" s="225">
        <f t="shared" si="0"/>
        <v>46112</v>
      </c>
      <c r="H11" s="225">
        <f t="shared" si="0"/>
        <v>46477</v>
      </c>
      <c r="I11" s="225">
        <f t="shared" si="0"/>
        <v>46843</v>
      </c>
      <c r="J11" s="225">
        <f t="shared" si="0"/>
        <v>47208</v>
      </c>
      <c r="K11" s="225">
        <f t="shared" si="0"/>
        <v>47573</v>
      </c>
    </row>
    <row r="13" spans="2:11" x14ac:dyDescent="0.25">
      <c r="C13" t="s">
        <v>7</v>
      </c>
      <c r="D13" s="11">
        <v>7426</v>
      </c>
      <c r="E13" s="11">
        <v>7562</v>
      </c>
      <c r="F13" s="11">
        <v>7463</v>
      </c>
      <c r="G13" s="11">
        <v>8092.11</v>
      </c>
      <c r="H13" s="11">
        <v>8412.18</v>
      </c>
      <c r="I13" s="11">
        <v>8872.86</v>
      </c>
      <c r="J13" s="11">
        <v>9809.67</v>
      </c>
      <c r="K13" s="11">
        <v>10448</v>
      </c>
    </row>
    <row r="14" spans="2:11" x14ac:dyDescent="0.25">
      <c r="C14" s="4" t="s">
        <v>8</v>
      </c>
      <c r="D14" s="10">
        <v>-1792</v>
      </c>
      <c r="E14" s="10">
        <v>-1710</v>
      </c>
      <c r="F14" s="10">
        <v>-1543</v>
      </c>
      <c r="G14" s="7">
        <f>G15-G13</f>
        <v>-1818.5621895224122</v>
      </c>
      <c r="H14" s="7">
        <f t="shared" ref="H14:K14" si="1">H15-H13</f>
        <v>-1890.4924030267321</v>
      </c>
      <c r="I14" s="7">
        <f t="shared" si="1"/>
        <v>-1994.0222894802264</v>
      </c>
      <c r="J14" s="7">
        <f t="shared" si="1"/>
        <v>-2204.5541834814803</v>
      </c>
      <c r="K14" s="7">
        <f t="shared" si="1"/>
        <v>-2348.0078442001113</v>
      </c>
    </row>
    <row r="15" spans="2:11" x14ac:dyDescent="0.25">
      <c r="C15" s="3" t="s">
        <v>9</v>
      </c>
      <c r="D15" s="8">
        <f t="shared" ref="D15:F15" si="2">SUM(D13:D14)</f>
        <v>5634</v>
      </c>
      <c r="E15" s="8">
        <f t="shared" si="2"/>
        <v>5852</v>
      </c>
      <c r="F15" s="8">
        <f t="shared" si="2"/>
        <v>5920</v>
      </c>
      <c r="G15" s="8">
        <f>G13*G42</f>
        <v>6273.5478104775875</v>
      </c>
      <c r="H15" s="8">
        <f>H13*H42</f>
        <v>6521.6875969732682</v>
      </c>
      <c r="I15" s="8">
        <f>I13*I42</f>
        <v>6878.8377105197742</v>
      </c>
      <c r="J15" s="8">
        <f>J13*J42</f>
        <v>7605.1158165185198</v>
      </c>
      <c r="K15" s="8">
        <f>K13*K42</f>
        <v>8099.9921557998887</v>
      </c>
    </row>
    <row r="16" spans="2:11" x14ac:dyDescent="0.25">
      <c r="D16" s="6"/>
      <c r="E16" s="6"/>
      <c r="F16" s="6"/>
      <c r="G16" s="6"/>
      <c r="H16" s="6"/>
      <c r="I16" s="6"/>
      <c r="J16" s="6"/>
      <c r="K16" s="6"/>
    </row>
    <row r="17" spans="3:11" x14ac:dyDescent="0.25">
      <c r="C17" t="s">
        <v>10</v>
      </c>
      <c r="D17" s="11">
        <v>-2328</v>
      </c>
      <c r="E17" s="11">
        <v>-2420</v>
      </c>
      <c r="F17" s="11">
        <v>-2569</v>
      </c>
      <c r="G17" s="6">
        <f>-G44*G13</f>
        <v>-2637.3422773892876</v>
      </c>
      <c r="H17" s="6">
        <f>-H44*H13</f>
        <v>-2741.6579803053369</v>
      </c>
      <c r="I17" s="6">
        <f>-I44*I13</f>
        <v>-2891.8006304111432</v>
      </c>
      <c r="J17" s="6">
        <f>-J44*J13</f>
        <v>-3197.1213216623814</v>
      </c>
      <c r="K17" s="6">
        <f>-K44*K13</f>
        <v>-3405.1628208419406</v>
      </c>
    </row>
    <row r="18" spans="3:11" x14ac:dyDescent="0.25">
      <c r="C18" t="s">
        <v>11</v>
      </c>
      <c r="D18" s="11">
        <v>-978</v>
      </c>
      <c r="E18" s="11">
        <v>-1019</v>
      </c>
      <c r="F18" s="11">
        <v>-962</v>
      </c>
      <c r="G18" s="6">
        <f>-G45*G13</f>
        <v>-1066.4179919282021</v>
      </c>
      <c r="H18" s="6">
        <f>-H45*H13</f>
        <v>-1108.5983882248984</v>
      </c>
      <c r="I18" s="6">
        <f>-I45*I13</f>
        <v>-1169.3090607839076</v>
      </c>
      <c r="J18" s="6">
        <f>-J45*J13</f>
        <v>-1292.7664827688113</v>
      </c>
      <c r="K18" s="6">
        <f>-K45*K13</f>
        <v>-1376.888744674239</v>
      </c>
    </row>
    <row r="19" spans="3:11" x14ac:dyDescent="0.25">
      <c r="C19" t="s">
        <v>12</v>
      </c>
      <c r="D19" s="11">
        <v>-727</v>
      </c>
      <c r="E19" s="11">
        <v>-691</v>
      </c>
      <c r="F19" s="11">
        <v>-745</v>
      </c>
      <c r="G19" s="6">
        <f>-G46*G13</f>
        <v>-779.81781975927697</v>
      </c>
      <c r="H19" s="6">
        <f>-H46*H13</f>
        <v>-810.66222122815873</v>
      </c>
      <c r="I19" s="6">
        <f>-I46*I13</f>
        <v>-855.05688136089339</v>
      </c>
      <c r="J19" s="6">
        <f>-J46*J13</f>
        <v>-945.33508219215844</v>
      </c>
      <c r="K19" s="6">
        <f>-K46*K13</f>
        <v>-1006.8494596396894</v>
      </c>
    </row>
    <row r="20" spans="3:11" x14ac:dyDescent="0.25">
      <c r="C20" t="s">
        <v>13</v>
      </c>
      <c r="D20" s="11">
        <v>-158</v>
      </c>
      <c r="E20" s="11">
        <v>-142</v>
      </c>
      <c r="F20" s="11">
        <v>-67</v>
      </c>
      <c r="G20" s="6">
        <f>G189</f>
        <v>-72.647912367680561</v>
      </c>
      <c r="H20" s="6">
        <f t="shared" ref="H20:K20" si="3">H189</f>
        <v>-75.521380142034047</v>
      </c>
      <c r="I20" s="6">
        <f t="shared" si="3"/>
        <v>-79.657191477957937</v>
      </c>
      <c r="J20" s="6">
        <f t="shared" si="3"/>
        <v>-88.067518424226179</v>
      </c>
      <c r="K20" s="6">
        <f t="shared" si="3"/>
        <v>-93.798204475412035</v>
      </c>
    </row>
    <row r="21" spans="3:11" x14ac:dyDescent="0.25">
      <c r="C21" t="s">
        <v>113</v>
      </c>
      <c r="D21" s="11"/>
      <c r="E21" s="11"/>
      <c r="F21" s="11"/>
      <c r="G21" s="6">
        <f>-('Pro Forma'!$D$15+'Pro Forma'!$D$22)</f>
        <v>-38.090000000000003</v>
      </c>
      <c r="H21" s="6">
        <f>-('Pro Forma'!$D$15+'Pro Forma'!$D$22)</f>
        <v>-38.090000000000003</v>
      </c>
      <c r="I21" s="6">
        <f>-('Pro Forma'!$D$15+'Pro Forma'!$D$22)</f>
        <v>-38.090000000000003</v>
      </c>
      <c r="J21" s="6">
        <f>-('Pro Forma'!$D$15+'Pro Forma'!$D$22)</f>
        <v>-38.090000000000003</v>
      </c>
      <c r="K21" s="6">
        <f>-('Pro Forma'!$D$15+'Pro Forma'!$D$22)</f>
        <v>-38.090000000000003</v>
      </c>
    </row>
    <row r="22" spans="3:11" x14ac:dyDescent="0.25">
      <c r="C22" s="4" t="s">
        <v>14</v>
      </c>
      <c r="D22" s="10">
        <v>-111</v>
      </c>
      <c r="E22" s="10">
        <v>-62</v>
      </c>
      <c r="F22" s="10">
        <v>-57</v>
      </c>
      <c r="G22" s="7">
        <f>F22</f>
        <v>-57</v>
      </c>
      <c r="H22" s="7">
        <f t="shared" ref="H22:K22" si="4">G22</f>
        <v>-57</v>
      </c>
      <c r="I22" s="7">
        <f t="shared" si="4"/>
        <v>-57</v>
      </c>
      <c r="J22" s="7">
        <f t="shared" si="4"/>
        <v>-57</v>
      </c>
      <c r="K22" s="7">
        <f t="shared" si="4"/>
        <v>-57</v>
      </c>
    </row>
    <row r="23" spans="3:11" x14ac:dyDescent="0.25">
      <c r="C23" s="3" t="s">
        <v>15</v>
      </c>
      <c r="D23" s="8">
        <f>D15+SUM(D17:D22)</f>
        <v>1332</v>
      </c>
      <c r="E23" s="8">
        <f t="shared" ref="E23:F23" si="5">E15+SUM(E17:E22)</f>
        <v>1518</v>
      </c>
      <c r="F23" s="8">
        <f t="shared" si="5"/>
        <v>1520</v>
      </c>
      <c r="G23" s="8">
        <f t="shared" ref="G23" si="6">G15+SUM(G17:G22)</f>
        <v>1622.2318090331401</v>
      </c>
      <c r="H23" s="8">
        <f t="shared" ref="H23" si="7">H15+SUM(H17:H22)</f>
        <v>1690.1576270728401</v>
      </c>
      <c r="I23" s="8">
        <f t="shared" ref="I23" si="8">I15+SUM(I17:I22)</f>
        <v>1787.923946485872</v>
      </c>
      <c r="J23" s="8">
        <f t="shared" ref="J23" si="9">J15+SUM(J17:J22)</f>
        <v>1986.7354114709415</v>
      </c>
      <c r="K23" s="8">
        <f t="shared" ref="K23" si="10">K15+SUM(K17:K22)</f>
        <v>2122.2029261686075</v>
      </c>
    </row>
    <row r="24" spans="3:11" x14ac:dyDescent="0.25">
      <c r="D24" s="6"/>
      <c r="E24" s="6"/>
      <c r="F24" s="6"/>
      <c r="G24" s="6"/>
      <c r="H24" s="6"/>
      <c r="I24" s="6"/>
      <c r="J24" s="6"/>
      <c r="K24" s="6"/>
    </row>
    <row r="25" spans="3:11" x14ac:dyDescent="0.25">
      <c r="C25" t="s">
        <v>16</v>
      </c>
      <c r="D25" s="11">
        <v>49</v>
      </c>
      <c r="E25" s="11">
        <v>126</v>
      </c>
      <c r="F25" s="11">
        <v>125</v>
      </c>
      <c r="G25" s="6">
        <f ca="1">G201</f>
        <v>9.0744101633393832</v>
      </c>
      <c r="H25" s="6">
        <f t="shared" ref="H25:K25" ca="1" si="11">H201</f>
        <v>9.0744101633393832</v>
      </c>
      <c r="I25" s="6">
        <f t="shared" ca="1" si="11"/>
        <v>9.0744101633393832</v>
      </c>
      <c r="J25" s="6">
        <f t="shared" ca="1" si="11"/>
        <v>9.0744101633393832</v>
      </c>
      <c r="K25" s="6">
        <f t="shared" ca="1" si="11"/>
        <v>9.0744101633393832</v>
      </c>
    </row>
    <row r="26" spans="3:11" x14ac:dyDescent="0.25">
      <c r="C26" t="s">
        <v>17</v>
      </c>
      <c r="D26" s="11">
        <v>-58</v>
      </c>
      <c r="E26" s="11">
        <v>-58</v>
      </c>
      <c r="F26" s="11">
        <v>-58</v>
      </c>
      <c r="G26" s="6">
        <f ca="1">-SUM(G253:G257)+G243</f>
        <v>-1286.1959731013858</v>
      </c>
      <c r="H26" s="6">
        <f t="shared" ref="H26:K26" ca="1" si="12">-SUM(H253:H257)+H243</f>
        <v>-1178.219142173248</v>
      </c>
      <c r="I26" s="6">
        <f t="shared" ca="1" si="12"/>
        <v>-1057.9558992345756</v>
      </c>
      <c r="J26" s="6">
        <f t="shared" ca="1" si="12"/>
        <v>-958.20671340826323</v>
      </c>
      <c r="K26" s="6">
        <f t="shared" ca="1" si="12"/>
        <v>-840.86201665840656</v>
      </c>
    </row>
    <row r="27" spans="3:11" x14ac:dyDescent="0.25">
      <c r="C27" s="4" t="s">
        <v>18</v>
      </c>
      <c r="D27" s="10">
        <v>3</v>
      </c>
      <c r="E27" s="10">
        <v>3</v>
      </c>
      <c r="F27" s="10">
        <v>18</v>
      </c>
      <c r="G27" s="7">
        <f>F27</f>
        <v>18</v>
      </c>
      <c r="H27" s="7">
        <f t="shared" ref="H27:K27" si="13">G27</f>
        <v>18</v>
      </c>
      <c r="I27" s="7">
        <f t="shared" si="13"/>
        <v>18</v>
      </c>
      <c r="J27" s="7">
        <f t="shared" si="13"/>
        <v>18</v>
      </c>
      <c r="K27" s="7">
        <f t="shared" si="13"/>
        <v>18</v>
      </c>
    </row>
    <row r="28" spans="3:11" x14ac:dyDescent="0.25">
      <c r="C28" s="3" t="s">
        <v>19</v>
      </c>
      <c r="D28" s="8">
        <f>D23+SUM(D25:D27)</f>
        <v>1326</v>
      </c>
      <c r="E28" s="8">
        <f t="shared" ref="E28:F28" si="14">E23+SUM(E25:E27)</f>
        <v>1589</v>
      </c>
      <c r="F28" s="8">
        <f t="shared" si="14"/>
        <v>1605</v>
      </c>
      <c r="G28" s="8">
        <f t="shared" ref="G28" ca="1" si="15">G23+SUM(G25:G27)</f>
        <v>363.11024609509354</v>
      </c>
      <c r="H28" s="8">
        <f t="shared" ref="H28" ca="1" si="16">H23+SUM(H25:H27)</f>
        <v>539.01289506293142</v>
      </c>
      <c r="I28" s="8">
        <f t="shared" ref="I28" ca="1" si="17">I23+SUM(I25:I27)</f>
        <v>757.04245741463569</v>
      </c>
      <c r="J28" s="8">
        <f t="shared" ref="J28" ca="1" si="18">J23+SUM(J25:J27)</f>
        <v>1055.6031082260176</v>
      </c>
      <c r="K28" s="8">
        <f t="shared" ref="K28" ca="1" si="19">K23+SUM(K25:K27)</f>
        <v>1308.4153196735404</v>
      </c>
    </row>
    <row r="29" spans="3:11" x14ac:dyDescent="0.25">
      <c r="D29" s="6"/>
      <c r="E29" s="6"/>
      <c r="F29" s="6"/>
      <c r="G29" s="6"/>
      <c r="H29" s="6"/>
      <c r="I29" s="6"/>
      <c r="J29" s="6"/>
      <c r="K29" s="6"/>
    </row>
    <row r="30" spans="3:11" x14ac:dyDescent="0.25">
      <c r="C30" s="4" t="s">
        <v>20</v>
      </c>
      <c r="D30" s="10">
        <v>-524</v>
      </c>
      <c r="E30" s="10">
        <v>-316</v>
      </c>
      <c r="F30" s="10">
        <v>-484</v>
      </c>
      <c r="G30" s="7">
        <f ca="1">-G48*G28</f>
        <v>-108.40030618766239</v>
      </c>
      <c r="H30" s="7">
        <f ca="1">-H48*H28</f>
        <v>-160.91301055883264</v>
      </c>
      <c r="I30" s="7">
        <f ca="1">-I48*I28</f>
        <v>-226.00197891225451</v>
      </c>
      <c r="J30" s="7">
        <f ca="1">-J48*J28</f>
        <v>-315.13211586538768</v>
      </c>
      <c r="K30" s="7">
        <f ca="1">-K48*K28</f>
        <v>-390.60484466774301</v>
      </c>
    </row>
    <row r="31" spans="3:11" ht="15.75" thickBot="1" x14ac:dyDescent="0.3">
      <c r="C31" s="5" t="s">
        <v>21</v>
      </c>
      <c r="D31" s="9">
        <f>D28+D30</f>
        <v>802</v>
      </c>
      <c r="E31" s="9">
        <f t="shared" ref="E31:F31" si="20">E28+E30</f>
        <v>1273</v>
      </c>
      <c r="F31" s="9">
        <f t="shared" si="20"/>
        <v>1121</v>
      </c>
      <c r="G31" s="9">
        <f t="shared" ref="G31" ca="1" si="21">G28+G30</f>
        <v>254.70993990743113</v>
      </c>
      <c r="H31" s="9">
        <f t="shared" ref="H31" ca="1" si="22">H28+H30</f>
        <v>378.09988450409878</v>
      </c>
      <c r="I31" s="9">
        <f t="shared" ref="I31" ca="1" si="23">I28+I30</f>
        <v>531.04047850238112</v>
      </c>
      <c r="J31" s="9">
        <f t="shared" ref="J31" ca="1" si="24">J28+J30</f>
        <v>740.47099236062991</v>
      </c>
      <c r="K31" s="9">
        <f t="shared" ref="K31" ca="1" si="25">K28+K30</f>
        <v>917.81047500579734</v>
      </c>
    </row>
    <row r="32" spans="3:11" ht="15.75" thickTop="1" x14ac:dyDescent="0.25">
      <c r="C32" s="3"/>
      <c r="D32" s="8"/>
      <c r="E32" s="8"/>
      <c r="F32" s="8"/>
      <c r="G32" s="8"/>
      <c r="H32" s="8"/>
      <c r="I32" s="8"/>
      <c r="J32" s="8"/>
      <c r="K32" s="8"/>
    </row>
    <row r="33" spans="3:11" x14ac:dyDescent="0.25">
      <c r="C33" t="s">
        <v>25</v>
      </c>
      <c r="D33" s="6">
        <f t="shared" ref="D33:K33" si="26">D23</f>
        <v>1332</v>
      </c>
      <c r="E33" s="6">
        <f t="shared" si="26"/>
        <v>1518</v>
      </c>
      <c r="F33" s="6">
        <f t="shared" si="26"/>
        <v>1520</v>
      </c>
      <c r="G33" s="6">
        <f t="shared" si="26"/>
        <v>1622.2318090331401</v>
      </c>
      <c r="H33" s="6">
        <f t="shared" si="26"/>
        <v>1690.1576270728401</v>
      </c>
      <c r="I33" s="6">
        <f t="shared" si="26"/>
        <v>1787.923946485872</v>
      </c>
      <c r="J33" s="6">
        <f t="shared" si="26"/>
        <v>1986.7354114709415</v>
      </c>
      <c r="K33" s="6">
        <f t="shared" si="26"/>
        <v>2122.2029261686075</v>
      </c>
    </row>
    <row r="34" spans="3:11" x14ac:dyDescent="0.25">
      <c r="C34" t="s">
        <v>53</v>
      </c>
      <c r="D34" s="11">
        <v>536</v>
      </c>
      <c r="E34" s="11">
        <v>404</v>
      </c>
      <c r="F34" s="11">
        <v>356</v>
      </c>
      <c r="G34" s="6">
        <f>G181-G189</f>
        <v>320.17384858635944</v>
      </c>
      <c r="H34" s="6">
        <f t="shared" ref="H34:K34" si="27">H181-H189</f>
        <v>293.02888355889058</v>
      </c>
      <c r="I34" s="6">
        <f t="shared" si="27"/>
        <v>301.81066300415387</v>
      </c>
      <c r="J34" s="6">
        <f t="shared" si="27"/>
        <v>339.57686329894148</v>
      </c>
      <c r="K34" s="6">
        <f t="shared" si="27"/>
        <v>389.94092483987674</v>
      </c>
    </row>
    <row r="35" spans="3:11" x14ac:dyDescent="0.25">
      <c r="C35" t="s">
        <v>24</v>
      </c>
      <c r="D35" s="11">
        <v>548</v>
      </c>
      <c r="E35" s="11">
        <v>584</v>
      </c>
      <c r="F35" s="11">
        <v>642</v>
      </c>
      <c r="G35" s="6">
        <f>F35*(1+G41)</f>
        <v>696.11880209031222</v>
      </c>
      <c r="H35" s="6">
        <f t="shared" ref="H35:K35" si="28">G35*(1+H41)</f>
        <v>723.6526276296396</v>
      </c>
      <c r="I35" s="6">
        <f t="shared" si="28"/>
        <v>763.28234222162678</v>
      </c>
      <c r="J35" s="6">
        <f t="shared" si="28"/>
        <v>843.8708481843762</v>
      </c>
      <c r="K35" s="6">
        <f t="shared" si="28"/>
        <v>898.78279512260474</v>
      </c>
    </row>
    <row r="36" spans="3:11" x14ac:dyDescent="0.25">
      <c r="C36" t="s">
        <v>113</v>
      </c>
      <c r="D36" s="11"/>
      <c r="E36" s="11"/>
      <c r="F36" s="11"/>
      <c r="G36" s="6">
        <f>-G21</f>
        <v>38.090000000000003</v>
      </c>
      <c r="H36" s="6">
        <f>-H21</f>
        <v>38.090000000000003</v>
      </c>
      <c r="I36" s="6">
        <f>-I21</f>
        <v>38.090000000000003</v>
      </c>
      <c r="J36" s="6">
        <f>-J21</f>
        <v>38.090000000000003</v>
      </c>
      <c r="K36" s="6">
        <f>-K21</f>
        <v>38.090000000000003</v>
      </c>
    </row>
    <row r="37" spans="3:11" x14ac:dyDescent="0.25">
      <c r="C37" t="s">
        <v>14</v>
      </c>
      <c r="D37" s="6">
        <f>-D22</f>
        <v>111</v>
      </c>
      <c r="E37" s="6">
        <f>-E22</f>
        <v>62</v>
      </c>
      <c r="F37" s="6">
        <f>-F22</f>
        <v>57</v>
      </c>
      <c r="G37" s="6">
        <f>-G22</f>
        <v>57</v>
      </c>
      <c r="H37" s="6">
        <f>-H22</f>
        <v>57</v>
      </c>
      <c r="I37" s="6">
        <f>-I22</f>
        <v>57</v>
      </c>
      <c r="J37" s="6">
        <f>-J22</f>
        <v>57</v>
      </c>
      <c r="K37" s="6">
        <f>-K22</f>
        <v>57</v>
      </c>
    </row>
    <row r="38" spans="3:11" x14ac:dyDescent="0.25">
      <c r="C38" t="s">
        <v>23</v>
      </c>
      <c r="D38" s="6">
        <f>SUM(D33:D37)</f>
        <v>2527</v>
      </c>
      <c r="E38" s="6">
        <f t="shared" ref="E38:K38" si="29">SUM(E33:E37)</f>
        <v>2568</v>
      </c>
      <c r="F38" s="6">
        <f t="shared" si="29"/>
        <v>2575</v>
      </c>
      <c r="G38" s="6">
        <f t="shared" si="29"/>
        <v>2733.6144597098119</v>
      </c>
      <c r="H38" s="6">
        <f t="shared" si="29"/>
        <v>2801.9291382613706</v>
      </c>
      <c r="I38" s="6">
        <f t="shared" si="29"/>
        <v>2948.106951711653</v>
      </c>
      <c r="J38" s="6">
        <f t="shared" si="29"/>
        <v>3265.2731229542596</v>
      </c>
      <c r="K38" s="6">
        <f t="shared" si="29"/>
        <v>3506.0166461310891</v>
      </c>
    </row>
    <row r="40" spans="3:11" x14ac:dyDescent="0.25">
      <c r="C40" s="12" t="s">
        <v>26</v>
      </c>
      <c r="D40" s="4"/>
      <c r="E40" s="4"/>
      <c r="F40" s="4"/>
      <c r="G40" s="4"/>
      <c r="H40" s="4"/>
      <c r="I40" s="4"/>
      <c r="J40" s="4"/>
      <c r="K40" s="4"/>
    </row>
    <row r="41" spans="3:11" x14ac:dyDescent="0.25">
      <c r="C41" t="s">
        <v>27</v>
      </c>
      <c r="D41" s="13"/>
      <c r="E41" s="13">
        <f t="shared" ref="E41:K41" si="30">E13/D13-1</f>
        <v>1.8314031780231721E-2</v>
      </c>
      <c r="F41" s="13">
        <f t="shared" si="30"/>
        <v>-1.3091774662787659E-2</v>
      </c>
      <c r="G41" s="13">
        <f t="shared" si="30"/>
        <v>8.4297199517620269E-2</v>
      </c>
      <c r="H41" s="13">
        <f t="shared" si="30"/>
        <v>3.9553342700482386E-2</v>
      </c>
      <c r="I41" s="13">
        <f t="shared" si="30"/>
        <v>5.4763450140153935E-2</v>
      </c>
      <c r="J41" s="13">
        <f t="shared" si="30"/>
        <v>0.10558151486668321</v>
      </c>
      <c r="K41" s="13">
        <f t="shared" si="30"/>
        <v>6.5071505973187671E-2</v>
      </c>
    </row>
    <row r="42" spans="3:11" x14ac:dyDescent="0.25">
      <c r="C42" t="s">
        <v>28</v>
      </c>
      <c r="D42" s="13">
        <f>D15/D13</f>
        <v>0.75868569889577164</v>
      </c>
      <c r="E42" s="13">
        <f>E15/E13</f>
        <v>0.77386934673366836</v>
      </c>
      <c r="F42" s="13">
        <f>F15/F13</f>
        <v>0.79324668363928719</v>
      </c>
      <c r="G42" s="13">
        <f>AVERAGE(D42:F42)</f>
        <v>0.77526724308957584</v>
      </c>
      <c r="H42" s="13">
        <f>G42</f>
        <v>0.77526724308957584</v>
      </c>
      <c r="I42" s="13">
        <f t="shared" ref="I42:K42" si="31">H42</f>
        <v>0.77526724308957584</v>
      </c>
      <c r="J42" s="13">
        <f t="shared" si="31"/>
        <v>0.77526724308957584</v>
      </c>
      <c r="K42" s="13">
        <f t="shared" si="31"/>
        <v>0.77526724308957584</v>
      </c>
    </row>
    <row r="43" spans="3:11" x14ac:dyDescent="0.25">
      <c r="D43" s="13"/>
      <c r="E43" s="13"/>
      <c r="F43" s="13"/>
      <c r="G43" s="13"/>
      <c r="H43" s="13"/>
      <c r="I43" s="13"/>
      <c r="J43" s="13"/>
      <c r="K43" s="13"/>
    </row>
    <row r="44" spans="3:11" x14ac:dyDescent="0.25">
      <c r="C44" t="s">
        <v>29</v>
      </c>
      <c r="D44" s="13">
        <f>-D17/D13</f>
        <v>0.31349313223808239</v>
      </c>
      <c r="E44" s="13">
        <f>-E17/E13</f>
        <v>0.32002115842369744</v>
      </c>
      <c r="F44" s="13">
        <f>-F17/F13</f>
        <v>0.34423154227522446</v>
      </c>
      <c r="G44" s="13">
        <f>AVERAGE(D44:F44)</f>
        <v>0.32591527764566813</v>
      </c>
      <c r="H44" s="13">
        <f>G44</f>
        <v>0.32591527764566813</v>
      </c>
      <c r="I44" s="13">
        <f t="shared" ref="I44:K44" si="32">H44</f>
        <v>0.32591527764566813</v>
      </c>
      <c r="J44" s="13">
        <f t="shared" si="32"/>
        <v>0.32591527764566813</v>
      </c>
      <c r="K44" s="13">
        <f t="shared" si="32"/>
        <v>0.32591527764566813</v>
      </c>
    </row>
    <row r="45" spans="3:11" x14ac:dyDescent="0.25">
      <c r="C45" t="s">
        <v>30</v>
      </c>
      <c r="D45" s="13">
        <f>-D18/D13</f>
        <v>0.1316994344196068</v>
      </c>
      <c r="E45" s="13">
        <f>-E18/E13</f>
        <v>0.13475271092303623</v>
      </c>
      <c r="F45" s="13">
        <f>-F18/F13</f>
        <v>0.12890258609138416</v>
      </c>
      <c r="G45" s="13">
        <f t="shared" ref="G45:G46" si="33">AVERAGE(D45:F45)</f>
        <v>0.13178491047800908</v>
      </c>
      <c r="H45" s="13">
        <f t="shared" ref="H45:K45" si="34">G45</f>
        <v>0.13178491047800908</v>
      </c>
      <c r="I45" s="13">
        <f t="shared" si="34"/>
        <v>0.13178491047800908</v>
      </c>
      <c r="J45" s="13">
        <f t="shared" si="34"/>
        <v>0.13178491047800908</v>
      </c>
      <c r="K45" s="13">
        <f t="shared" si="34"/>
        <v>0.13178491047800908</v>
      </c>
    </row>
    <row r="46" spans="3:11" x14ac:dyDescent="0.25">
      <c r="C46" t="s">
        <v>31</v>
      </c>
      <c r="D46" s="13">
        <f>-D19/D13</f>
        <v>9.789927282520873E-2</v>
      </c>
      <c r="E46" s="13">
        <f>-E19/E13</f>
        <v>9.1377942343295424E-2</v>
      </c>
      <c r="F46" s="13">
        <f>-F19/F13</f>
        <v>9.9825807316092724E-2</v>
      </c>
      <c r="G46" s="13">
        <f t="shared" si="33"/>
        <v>9.6367674161532288E-2</v>
      </c>
      <c r="H46" s="13">
        <f t="shared" ref="H46:K46" si="35">G46</f>
        <v>9.6367674161532288E-2</v>
      </c>
      <c r="I46" s="13">
        <f t="shared" si="35"/>
        <v>9.6367674161532288E-2</v>
      </c>
      <c r="J46" s="13">
        <f t="shared" si="35"/>
        <v>9.6367674161532288E-2</v>
      </c>
      <c r="K46" s="13">
        <f t="shared" si="35"/>
        <v>9.6367674161532288E-2</v>
      </c>
    </row>
    <row r="47" spans="3:11" x14ac:dyDescent="0.25">
      <c r="D47" s="13"/>
      <c r="E47" s="13"/>
      <c r="F47" s="13"/>
      <c r="G47" s="13"/>
      <c r="H47" s="13"/>
      <c r="I47" s="13"/>
      <c r="J47" s="13"/>
      <c r="K47" s="13"/>
    </row>
    <row r="48" spans="3:11" x14ac:dyDescent="0.25">
      <c r="C48" t="s">
        <v>32</v>
      </c>
      <c r="D48" s="13">
        <f>-D30/D28</f>
        <v>0.39517345399698339</v>
      </c>
      <c r="E48" s="13">
        <f>-E30/E28</f>
        <v>0.19886721208307112</v>
      </c>
      <c r="F48" s="13">
        <f>-F30/F28</f>
        <v>0.30155763239875388</v>
      </c>
      <c r="G48" s="13">
        <f>AVERAGE(D48:F48)</f>
        <v>0.29853276615960284</v>
      </c>
      <c r="H48" s="13">
        <f>G48</f>
        <v>0.29853276615960284</v>
      </c>
      <c r="I48" s="13">
        <f t="shared" ref="I48:K48" si="36">H48</f>
        <v>0.29853276615960284</v>
      </c>
      <c r="J48" s="13">
        <f t="shared" si="36"/>
        <v>0.29853276615960284</v>
      </c>
      <c r="K48" s="13">
        <f t="shared" si="36"/>
        <v>0.29853276615960284</v>
      </c>
    </row>
    <row r="49" spans="2:11" x14ac:dyDescent="0.25">
      <c r="D49" s="13"/>
      <c r="E49" s="13"/>
      <c r="F49" s="13"/>
      <c r="G49" s="13"/>
      <c r="H49" s="13"/>
      <c r="I49" s="13"/>
      <c r="J49" s="13"/>
      <c r="K49" s="13"/>
    </row>
    <row r="51" spans="2:11" x14ac:dyDescent="0.25">
      <c r="B51" t="s">
        <v>72</v>
      </c>
      <c r="C51" s="233" t="s">
        <v>228</v>
      </c>
      <c r="D51" s="234"/>
      <c r="E51" s="234"/>
      <c r="F51" s="234"/>
      <c r="G51" s="234"/>
      <c r="H51" s="234"/>
      <c r="I51" s="234"/>
      <c r="J51" s="234"/>
      <c r="K51" s="235"/>
    </row>
    <row r="52" spans="2:11" x14ac:dyDescent="0.25">
      <c r="C52" s="283" t="s">
        <v>5</v>
      </c>
      <c r="D52" s="275">
        <v>2023</v>
      </c>
      <c r="E52" s="275">
        <v>2024</v>
      </c>
      <c r="F52" s="275">
        <v>2025</v>
      </c>
      <c r="G52" s="276"/>
      <c r="H52" s="276"/>
      <c r="I52" s="276"/>
      <c r="J52" s="276"/>
      <c r="K52" s="276"/>
    </row>
    <row r="53" spans="2:11" x14ac:dyDescent="0.25">
      <c r="C53" s="224" t="s">
        <v>6</v>
      </c>
      <c r="D53" s="225">
        <v>45016</v>
      </c>
      <c r="E53" s="225">
        <f>EOMONTH(D53,12)</f>
        <v>45382</v>
      </c>
      <c r="F53" s="225">
        <f t="shared" ref="F53" si="37">EOMONTH(E53,12)</f>
        <v>45747</v>
      </c>
      <c r="G53" s="225"/>
      <c r="H53" s="225"/>
      <c r="I53" s="225"/>
      <c r="J53" s="225"/>
      <c r="K53" s="225"/>
    </row>
    <row r="55" spans="2:11" x14ac:dyDescent="0.25">
      <c r="C55" t="s">
        <v>33</v>
      </c>
      <c r="D55" s="11">
        <v>2767</v>
      </c>
      <c r="E55" s="11">
        <v>3262</v>
      </c>
      <c r="F55" s="11">
        <v>2248</v>
      </c>
      <c r="G55" s="6"/>
      <c r="H55" s="6"/>
      <c r="I55" s="6"/>
      <c r="J55" s="6"/>
      <c r="K55" s="6"/>
    </row>
    <row r="56" spans="2:11" x14ac:dyDescent="0.25">
      <c r="C56" t="s">
        <v>39</v>
      </c>
      <c r="D56" s="11">
        <v>684</v>
      </c>
      <c r="E56" s="11">
        <v>565</v>
      </c>
      <c r="F56" s="11">
        <v>679</v>
      </c>
      <c r="G56" s="6"/>
      <c r="H56" s="6"/>
      <c r="I56" s="6"/>
      <c r="J56" s="6"/>
      <c r="K56" s="6"/>
    </row>
    <row r="57" spans="2:11" x14ac:dyDescent="0.25">
      <c r="C57" t="s">
        <v>34</v>
      </c>
      <c r="D57" s="11">
        <v>518</v>
      </c>
      <c r="E57" s="11">
        <v>420</v>
      </c>
      <c r="F57" s="11">
        <v>349</v>
      </c>
      <c r="G57" s="6"/>
      <c r="H57" s="6"/>
      <c r="I57" s="6"/>
      <c r="J57" s="6"/>
      <c r="K57" s="6"/>
    </row>
    <row r="58" spans="2:11" x14ac:dyDescent="0.25">
      <c r="C58" t="s">
        <v>38</v>
      </c>
      <c r="D58" s="11">
        <v>549</v>
      </c>
      <c r="E58" s="11">
        <v>578</v>
      </c>
      <c r="F58" s="11">
        <v>586</v>
      </c>
      <c r="G58" s="6"/>
      <c r="H58" s="6"/>
      <c r="I58" s="6"/>
      <c r="J58" s="6"/>
      <c r="K58" s="6"/>
    </row>
    <row r="59" spans="2:11" x14ac:dyDescent="0.25">
      <c r="C59" t="s">
        <v>35</v>
      </c>
      <c r="D59" s="11">
        <v>5380</v>
      </c>
      <c r="E59" s="11">
        <v>5379</v>
      </c>
      <c r="F59" s="11">
        <v>5376</v>
      </c>
      <c r="G59" s="6"/>
      <c r="H59" s="6"/>
      <c r="I59" s="6"/>
      <c r="J59" s="6"/>
      <c r="K59" s="6"/>
    </row>
    <row r="60" spans="2:11" x14ac:dyDescent="0.25">
      <c r="C60" t="s">
        <v>37</v>
      </c>
      <c r="D60" s="11">
        <v>618</v>
      </c>
      <c r="E60" s="11">
        <v>400</v>
      </c>
      <c r="F60" s="11">
        <v>293</v>
      </c>
      <c r="G60" s="6"/>
      <c r="H60" s="6"/>
      <c r="I60" s="6"/>
      <c r="J60" s="6"/>
      <c r="K60" s="6"/>
    </row>
    <row r="61" spans="2:11" x14ac:dyDescent="0.25">
      <c r="C61" t="s">
        <v>36</v>
      </c>
      <c r="D61" s="11">
        <v>2462</v>
      </c>
      <c r="E61" s="11">
        <v>2380</v>
      </c>
      <c r="F61" s="11">
        <v>2420</v>
      </c>
      <c r="G61" s="6"/>
      <c r="H61" s="6"/>
      <c r="I61" s="6"/>
      <c r="J61" s="6"/>
      <c r="K61" s="6"/>
    </row>
    <row r="62" spans="2:11" x14ac:dyDescent="0.25">
      <c r="C62" s="4" t="s">
        <v>40</v>
      </c>
      <c r="D62" s="10">
        <v>481</v>
      </c>
      <c r="E62" s="10">
        <v>436</v>
      </c>
      <c r="F62" s="10">
        <v>417</v>
      </c>
      <c r="G62" s="7"/>
      <c r="H62" s="7"/>
      <c r="I62" s="7"/>
      <c r="J62" s="7"/>
      <c r="K62" s="7"/>
    </row>
    <row r="63" spans="2:11" x14ac:dyDescent="0.25">
      <c r="C63" s="3" t="s">
        <v>41</v>
      </c>
      <c r="D63" s="8">
        <f>SUM(D55:D62)</f>
        <v>13459</v>
      </c>
      <c r="E63" s="8">
        <f>SUM(E55:E62)</f>
        <v>13420</v>
      </c>
      <c r="F63" s="8">
        <f>SUM(F55:F62)</f>
        <v>12368</v>
      </c>
      <c r="G63" s="8"/>
      <c r="H63" s="8"/>
      <c r="I63" s="8"/>
      <c r="J63" s="8"/>
      <c r="K63" s="8"/>
    </row>
    <row r="64" spans="2:11" x14ac:dyDescent="0.25">
      <c r="D64" s="6"/>
      <c r="E64" s="6"/>
      <c r="F64" s="6"/>
      <c r="G64" s="6"/>
      <c r="H64" s="6"/>
      <c r="I64" s="6"/>
      <c r="J64" s="6"/>
      <c r="K64" s="6"/>
    </row>
    <row r="65" spans="2:11" x14ac:dyDescent="0.25">
      <c r="C65" t="s">
        <v>42</v>
      </c>
      <c r="D65" s="11">
        <v>1384</v>
      </c>
      <c r="E65" s="11">
        <v>1276</v>
      </c>
      <c r="F65" s="11">
        <v>1359</v>
      </c>
      <c r="G65" s="6"/>
      <c r="H65" s="6"/>
      <c r="I65" s="6"/>
      <c r="J65" s="6"/>
      <c r="K65" s="6"/>
    </row>
    <row r="66" spans="2:11" x14ac:dyDescent="0.25">
      <c r="C66" t="s">
        <v>43</v>
      </c>
      <c r="D66" s="11">
        <v>1901</v>
      </c>
      <c r="E66" s="11">
        <v>1814</v>
      </c>
      <c r="F66" s="11">
        <v>1700</v>
      </c>
      <c r="G66" s="6"/>
      <c r="H66" s="6"/>
      <c r="I66" s="6"/>
      <c r="J66" s="6"/>
      <c r="K66" s="6"/>
    </row>
    <row r="67" spans="2:11" x14ac:dyDescent="0.25">
      <c r="C67" t="s">
        <v>225</v>
      </c>
      <c r="D67" s="11">
        <v>1880</v>
      </c>
      <c r="E67" s="11">
        <v>1882</v>
      </c>
      <c r="F67" s="11">
        <v>1884</v>
      </c>
      <c r="G67" s="6"/>
      <c r="H67" s="6"/>
      <c r="I67" s="6"/>
      <c r="J67" s="6"/>
      <c r="K67" s="6"/>
    </row>
    <row r="68" spans="2:11" x14ac:dyDescent="0.25">
      <c r="C68" t="s">
        <v>44</v>
      </c>
      <c r="D68" s="11">
        <v>608</v>
      </c>
      <c r="E68" s="11">
        <v>497</v>
      </c>
      <c r="F68" s="11">
        <v>594</v>
      </c>
      <c r="G68" s="6"/>
      <c r="H68" s="6"/>
      <c r="I68" s="6"/>
      <c r="J68" s="6"/>
      <c r="K68" s="6"/>
    </row>
    <row r="69" spans="2:11" x14ac:dyDescent="0.25">
      <c r="C69" s="4" t="s">
        <v>45</v>
      </c>
      <c r="D69" s="10">
        <v>393</v>
      </c>
      <c r="E69" s="10">
        <v>438</v>
      </c>
      <c r="F69" s="10">
        <v>445</v>
      </c>
      <c r="G69" s="7"/>
      <c r="H69" s="7"/>
      <c r="I69" s="7"/>
      <c r="J69" s="7"/>
      <c r="K69" s="7"/>
    </row>
    <row r="70" spans="2:11" x14ac:dyDescent="0.25">
      <c r="C70" s="3" t="s">
        <v>46</v>
      </c>
      <c r="D70" s="8">
        <f>SUM(D65:D69)</f>
        <v>6166</v>
      </c>
      <c r="E70" s="8">
        <f>SUM(E65:E69)</f>
        <v>5907</v>
      </c>
      <c r="F70" s="8">
        <f>SUM(F65:F69)</f>
        <v>5982</v>
      </c>
      <c r="G70" s="8"/>
      <c r="H70" s="8"/>
      <c r="I70" s="8"/>
      <c r="J70" s="8"/>
      <c r="K70" s="8"/>
    </row>
    <row r="71" spans="2:11" x14ac:dyDescent="0.25">
      <c r="D71" s="6"/>
      <c r="E71" s="6"/>
      <c r="F71" s="6"/>
      <c r="G71" s="6"/>
      <c r="H71" s="6"/>
      <c r="I71" s="6"/>
      <c r="J71" s="6"/>
      <c r="K71" s="6"/>
    </row>
    <row r="72" spans="2:11" x14ac:dyDescent="0.25">
      <c r="C72" t="s">
        <v>47</v>
      </c>
      <c r="D72" s="11">
        <v>3</v>
      </c>
      <c r="E72" s="11">
        <v>3</v>
      </c>
      <c r="F72" s="11">
        <v>3</v>
      </c>
      <c r="G72" s="6"/>
      <c r="H72" s="6"/>
      <c r="I72" s="6"/>
      <c r="J72" s="6"/>
      <c r="K72" s="6"/>
    </row>
    <row r="73" spans="2:11" x14ac:dyDescent="0.25">
      <c r="C73" t="s">
        <v>48</v>
      </c>
      <c r="D73" s="11">
        <v>7357</v>
      </c>
      <c r="E73" s="11">
        <v>7582</v>
      </c>
      <c r="F73" s="11">
        <v>6470</v>
      </c>
      <c r="G73" s="6"/>
      <c r="H73" s="6"/>
      <c r="I73" s="6"/>
      <c r="J73" s="6"/>
      <c r="K73" s="6"/>
    </row>
    <row r="74" spans="2:11" x14ac:dyDescent="0.25">
      <c r="C74" s="4" t="s">
        <v>50</v>
      </c>
      <c r="D74" s="10">
        <v>-67</v>
      </c>
      <c r="E74" s="10">
        <v>-72</v>
      </c>
      <c r="F74" s="10">
        <v>-87</v>
      </c>
      <c r="G74" s="7"/>
      <c r="H74" s="7"/>
      <c r="I74" s="7"/>
      <c r="J74" s="7"/>
      <c r="K74" s="7"/>
    </row>
    <row r="75" spans="2:11" x14ac:dyDescent="0.25">
      <c r="C75" s="3" t="s">
        <v>49</v>
      </c>
      <c r="D75" s="8">
        <f>SUM(D72:D74)</f>
        <v>7293</v>
      </c>
      <c r="E75" s="8">
        <f t="shared" ref="E75:F75" si="38">SUM(E72:E74)</f>
        <v>7513</v>
      </c>
      <c r="F75" s="8">
        <f t="shared" si="38"/>
        <v>6386</v>
      </c>
      <c r="G75" s="8"/>
      <c r="H75" s="8"/>
      <c r="I75" s="8"/>
      <c r="J75" s="8"/>
      <c r="K75" s="8"/>
    </row>
    <row r="77" spans="2:11" x14ac:dyDescent="0.25">
      <c r="C77" s="14" t="s">
        <v>51</v>
      </c>
      <c r="D77" s="15">
        <f>D63-D70-D75</f>
        <v>0</v>
      </c>
      <c r="E77" s="15">
        <f>E63-E70-E75</f>
        <v>0</v>
      </c>
      <c r="F77" s="15">
        <f>F63-F70-F75</f>
        <v>0</v>
      </c>
      <c r="G77" s="15"/>
      <c r="H77" s="15"/>
      <c r="I77" s="15"/>
      <c r="J77" s="15"/>
      <c r="K77" s="15"/>
    </row>
    <row r="80" spans="2:11" x14ac:dyDescent="0.25">
      <c r="B80" t="s">
        <v>72</v>
      </c>
      <c r="C80" s="233" t="s">
        <v>52</v>
      </c>
      <c r="D80" s="234"/>
      <c r="E80" s="234"/>
      <c r="F80" s="234"/>
      <c r="G80" s="234"/>
      <c r="H80" s="234"/>
      <c r="I80" s="234"/>
      <c r="J80" s="234"/>
      <c r="K80" s="235"/>
    </row>
    <row r="81" spans="3:11" x14ac:dyDescent="0.25">
      <c r="C81" s="283" t="s">
        <v>5</v>
      </c>
      <c r="D81" s="275">
        <v>2023</v>
      </c>
      <c r="E81" s="275">
        <v>2024</v>
      </c>
      <c r="F81" s="275">
        <v>2025</v>
      </c>
      <c r="G81" s="276">
        <v>2026</v>
      </c>
      <c r="H81" s="276">
        <v>2027</v>
      </c>
      <c r="I81" s="276">
        <v>2028</v>
      </c>
      <c r="J81" s="276">
        <v>2029</v>
      </c>
      <c r="K81" s="276">
        <v>2030</v>
      </c>
    </row>
    <row r="82" spans="3:11" x14ac:dyDescent="0.25">
      <c r="C82" s="224" t="s">
        <v>6</v>
      </c>
      <c r="D82" s="225">
        <v>45016</v>
      </c>
      <c r="E82" s="225">
        <f>EOMONTH(D82,12)</f>
        <v>45382</v>
      </c>
      <c r="F82" s="225">
        <f t="shared" ref="F82:K82" si="39">EOMONTH(E82,12)</f>
        <v>45747</v>
      </c>
      <c r="G82" s="225">
        <f t="shared" si="39"/>
        <v>46112</v>
      </c>
      <c r="H82" s="225">
        <f t="shared" si="39"/>
        <v>46477</v>
      </c>
      <c r="I82" s="225">
        <f t="shared" si="39"/>
        <v>46843</v>
      </c>
      <c r="J82" s="225">
        <f t="shared" si="39"/>
        <v>47208</v>
      </c>
      <c r="K82" s="225">
        <f t="shared" si="39"/>
        <v>47573</v>
      </c>
    </row>
    <row r="83" spans="3:11" x14ac:dyDescent="0.25">
      <c r="C83" s="3"/>
      <c r="D83" s="23"/>
      <c r="E83" s="23"/>
      <c r="F83" s="23"/>
      <c r="G83" s="23"/>
      <c r="H83" s="23"/>
      <c r="I83" s="23"/>
      <c r="J83" s="23"/>
      <c r="K83" s="23"/>
    </row>
    <row r="84" spans="3:11" x14ac:dyDescent="0.25">
      <c r="C84" t="s">
        <v>21</v>
      </c>
      <c r="G84" s="6">
        <f ca="1">G31</f>
        <v>254.70993990743113</v>
      </c>
      <c r="H84" s="6">
        <f t="shared" ref="H84:K84" ca="1" si="40">H31</f>
        <v>378.09988450409878</v>
      </c>
      <c r="I84" s="6">
        <f t="shared" ca="1" si="40"/>
        <v>531.04047850238112</v>
      </c>
      <c r="J84" s="6">
        <f t="shared" ca="1" si="40"/>
        <v>740.47099236062991</v>
      </c>
      <c r="K84" s="6">
        <f t="shared" ca="1" si="40"/>
        <v>917.81047500579734</v>
      </c>
    </row>
    <row r="85" spans="3:11" x14ac:dyDescent="0.25">
      <c r="C85" t="s">
        <v>53</v>
      </c>
      <c r="D85" s="6"/>
      <c r="E85" s="6"/>
      <c r="F85" s="6"/>
      <c r="G85" s="6">
        <f>G181-G189</f>
        <v>320.17384858635944</v>
      </c>
      <c r="H85" s="6">
        <f t="shared" ref="H85:K85" si="41">H181-H189</f>
        <v>293.02888355889058</v>
      </c>
      <c r="I85" s="6">
        <f t="shared" si="41"/>
        <v>301.81066300415387</v>
      </c>
      <c r="J85" s="6">
        <f t="shared" si="41"/>
        <v>339.57686329894148</v>
      </c>
      <c r="K85" s="6">
        <f t="shared" si="41"/>
        <v>389.94092483987674</v>
      </c>
    </row>
    <row r="86" spans="3:11" x14ac:dyDescent="0.25">
      <c r="C86" t="s">
        <v>113</v>
      </c>
      <c r="G86" s="6">
        <f>-G21</f>
        <v>38.090000000000003</v>
      </c>
      <c r="H86" s="6">
        <f>-H21</f>
        <v>38.090000000000003</v>
      </c>
      <c r="I86" s="6">
        <f>-I21</f>
        <v>38.090000000000003</v>
      </c>
      <c r="J86" s="6">
        <f>-J21</f>
        <v>38.090000000000003</v>
      </c>
      <c r="K86" s="6">
        <f>-K21</f>
        <v>38.090000000000003</v>
      </c>
    </row>
    <row r="87" spans="3:11" x14ac:dyDescent="0.25">
      <c r="C87" t="s">
        <v>24</v>
      </c>
      <c r="D87" s="6"/>
      <c r="E87" s="6"/>
      <c r="F87" s="6"/>
      <c r="G87" s="6">
        <f>G35</f>
        <v>696.11880209031222</v>
      </c>
      <c r="H87" s="6">
        <f>H35</f>
        <v>723.6526276296396</v>
      </c>
      <c r="I87" s="6">
        <f>I35</f>
        <v>763.28234222162678</v>
      </c>
      <c r="J87" s="6">
        <f>J35</f>
        <v>843.8708481843762</v>
      </c>
      <c r="K87" s="6">
        <f>K35</f>
        <v>898.78279512260474</v>
      </c>
    </row>
    <row r="88" spans="3:11" x14ac:dyDescent="0.25">
      <c r="C88" t="s">
        <v>54</v>
      </c>
      <c r="D88" s="6"/>
      <c r="E88" s="6"/>
      <c r="F88" s="6"/>
      <c r="G88" s="6">
        <f>F120-G120</f>
        <v>-57.237798472464192</v>
      </c>
      <c r="H88" s="6">
        <f t="shared" ref="H88:K88" si="42">G120-H120</f>
        <v>-29.120665952030095</v>
      </c>
      <c r="I88" s="6">
        <f t="shared" si="42"/>
        <v>-41.913670105855545</v>
      </c>
      <c r="J88" s="6">
        <f t="shared" si="42"/>
        <v>-85.233014873375168</v>
      </c>
      <c r="K88" s="6">
        <f t="shared" si="42"/>
        <v>-58.076654160525209</v>
      </c>
    </row>
    <row r="89" spans="3:11" x14ac:dyDescent="0.25">
      <c r="C89" t="s">
        <v>55</v>
      </c>
      <c r="D89" s="6"/>
      <c r="E89" s="6"/>
      <c r="F89" s="6"/>
      <c r="G89" s="6">
        <f>F130-G130</f>
        <v>-29.419722631649449</v>
      </c>
      <c r="H89" s="6">
        <f t="shared" ref="H89:K89" si="43">G130-H130</f>
        <v>-14.967764973871112</v>
      </c>
      <c r="I89" s="6">
        <f t="shared" si="43"/>
        <v>-21.543256063245337</v>
      </c>
      <c r="J89" s="6">
        <f t="shared" si="43"/>
        <v>-43.809016481307708</v>
      </c>
      <c r="K89" s="6">
        <f t="shared" si="43"/>
        <v>-29.850887042744205</v>
      </c>
    </row>
    <row r="90" spans="3:11" x14ac:dyDescent="0.25">
      <c r="C90" t="s">
        <v>56</v>
      </c>
      <c r="D90" s="6"/>
      <c r="E90" s="6"/>
      <c r="F90" s="6"/>
      <c r="G90" s="6">
        <f>G140-F140</f>
        <v>242.70188954047853</v>
      </c>
      <c r="H90" s="6">
        <f t="shared" ref="H90:K90" si="44">H140-G140</f>
        <v>63.352663741005017</v>
      </c>
      <c r="I90" s="6">
        <f t="shared" si="44"/>
        <v>91.184132009266705</v>
      </c>
      <c r="J90" s="6">
        <f t="shared" si="44"/>
        <v>185.42634086046905</v>
      </c>
      <c r="K90" s="6">
        <f t="shared" si="44"/>
        <v>126.34706734712859</v>
      </c>
    </row>
    <row r="91" spans="3:11" x14ac:dyDescent="0.25">
      <c r="C91" t="s">
        <v>57</v>
      </c>
      <c r="D91" s="6"/>
      <c r="E91" s="6"/>
      <c r="F91" s="6"/>
      <c r="G91" s="6">
        <v>0</v>
      </c>
      <c r="H91" s="6">
        <v>0</v>
      </c>
      <c r="I91" s="6">
        <v>0</v>
      </c>
      <c r="J91" s="6">
        <v>0</v>
      </c>
      <c r="K91" s="6">
        <v>0</v>
      </c>
    </row>
    <row r="92" spans="3:11" x14ac:dyDescent="0.25">
      <c r="C92" t="s">
        <v>58</v>
      </c>
      <c r="D92" s="6"/>
      <c r="E92" s="6"/>
      <c r="F92" s="6"/>
      <c r="G92" s="6">
        <f>G150-F150</f>
        <v>143.30523917995447</v>
      </c>
      <c r="H92" s="6">
        <f t="shared" ref="H92:K92" si="45">H150-G150</f>
        <v>72.908883826879446</v>
      </c>
      <c r="I92" s="6">
        <f t="shared" si="45"/>
        <v>104.93849658314366</v>
      </c>
      <c r="J92" s="6">
        <f t="shared" si="45"/>
        <v>213.39635535307502</v>
      </c>
      <c r="K92" s="6">
        <f t="shared" si="45"/>
        <v>145.40546697038735</v>
      </c>
    </row>
    <row r="93" spans="3:11" x14ac:dyDescent="0.25">
      <c r="C93" t="s">
        <v>44</v>
      </c>
      <c r="D93" s="6"/>
      <c r="E93" s="6"/>
      <c r="F93" s="6"/>
      <c r="G93" s="6">
        <f>'Pro Forma'!E31-'Pro Forma'!H17</f>
        <v>-11.371113063019273</v>
      </c>
      <c r="H93" s="6">
        <f>'Pro Forma'!F31-'Pro Forma'!E31</f>
        <v>-11.371113063019273</v>
      </c>
      <c r="I93" s="6">
        <f>'Pro Forma'!G31-'Pro Forma'!F31</f>
        <v>-11.371113063019273</v>
      </c>
      <c r="J93" s="6">
        <f>'Pro Forma'!H31-'Pro Forma'!G31</f>
        <v>-11.371113063019273</v>
      </c>
      <c r="K93" s="6">
        <f>'Pro Forma'!I31-'Pro Forma'!H31</f>
        <v>-11.371113063019273</v>
      </c>
    </row>
    <row r="94" spans="3:11" x14ac:dyDescent="0.25">
      <c r="C94" t="s">
        <v>114</v>
      </c>
      <c r="D94" s="6"/>
      <c r="E94" s="6"/>
      <c r="F94" s="6"/>
      <c r="G94" s="6">
        <f>G257</f>
        <v>0</v>
      </c>
      <c r="H94" s="6">
        <f t="shared" ref="H94:K94" si="46">H257</f>
        <v>0</v>
      </c>
      <c r="I94" s="6">
        <f t="shared" si="46"/>
        <v>0</v>
      </c>
      <c r="J94" s="6">
        <f t="shared" si="46"/>
        <v>0</v>
      </c>
      <c r="K94" s="6">
        <f t="shared" si="46"/>
        <v>0</v>
      </c>
    </row>
    <row r="95" spans="3:11" x14ac:dyDescent="0.25">
      <c r="C95" s="4" t="s">
        <v>112</v>
      </c>
      <c r="D95" s="7"/>
      <c r="E95" s="7"/>
      <c r="F95" s="7"/>
      <c r="G95" s="7">
        <f>-G243</f>
        <v>38.625</v>
      </c>
      <c r="H95" s="7">
        <f t="shared" ref="H95:K95" si="47">-H243</f>
        <v>38.625</v>
      </c>
      <c r="I95" s="7">
        <f t="shared" si="47"/>
        <v>38.625</v>
      </c>
      <c r="J95" s="7">
        <f t="shared" si="47"/>
        <v>38.625</v>
      </c>
      <c r="K95" s="7">
        <f t="shared" si="47"/>
        <v>38.625</v>
      </c>
    </row>
    <row r="96" spans="3:11" x14ac:dyDescent="0.25">
      <c r="C96" s="3" t="s">
        <v>59</v>
      </c>
      <c r="D96" s="8"/>
      <c r="E96" s="8"/>
      <c r="F96" s="8"/>
      <c r="G96" s="8">
        <f ca="1">SUM(G84:G95)</f>
        <v>1635.6960851374029</v>
      </c>
      <c r="H96" s="8">
        <f t="shared" ref="H96:K96" ca="1" si="48">SUM(H84:H95)</f>
        <v>1552.2983992715929</v>
      </c>
      <c r="I96" s="8">
        <f t="shared" ca="1" si="48"/>
        <v>1794.143073088452</v>
      </c>
      <c r="J96" s="8">
        <f t="shared" ca="1" si="48"/>
        <v>2259.0432556397891</v>
      </c>
      <c r="K96" s="8">
        <f t="shared" ca="1" si="48"/>
        <v>2455.7030750195058</v>
      </c>
    </row>
    <row r="97" spans="3:11" x14ac:dyDescent="0.25">
      <c r="D97" s="6"/>
      <c r="E97" s="6"/>
      <c r="F97" s="6"/>
      <c r="G97" s="6"/>
      <c r="H97" s="6"/>
      <c r="I97" s="6"/>
      <c r="J97" s="6"/>
      <c r="K97" s="6"/>
    </row>
    <row r="98" spans="3:11" x14ac:dyDescent="0.25">
      <c r="C98" t="s">
        <v>60</v>
      </c>
      <c r="D98" s="6"/>
      <c r="E98" s="6"/>
      <c r="F98" s="6"/>
      <c r="G98" s="6">
        <f>-G162</f>
        <v>-239.62968109339408</v>
      </c>
      <c r="H98" s="6">
        <f t="shared" ref="H98:K98" si="49">-H162</f>
        <v>-249.10783599088842</v>
      </c>
      <c r="I98" s="6">
        <f t="shared" si="49"/>
        <v>-262.7498405466971</v>
      </c>
      <c r="J98" s="6">
        <f t="shared" si="49"/>
        <v>-290.49136674259682</v>
      </c>
      <c r="K98" s="6">
        <f t="shared" si="49"/>
        <v>-309.39407744874717</v>
      </c>
    </row>
    <row r="99" spans="3:11" x14ac:dyDescent="0.25">
      <c r="C99" s="4" t="s">
        <v>61</v>
      </c>
      <c r="D99" s="7"/>
      <c r="E99" s="7"/>
      <c r="F99" s="7"/>
      <c r="G99" s="7">
        <f>-G188</f>
        <v>-97.346991826343327</v>
      </c>
      <c r="H99" s="7">
        <f t="shared" ref="H99:K99" si="50">-H188</f>
        <v>-88.087440707490316</v>
      </c>
      <c r="I99" s="7">
        <f t="shared" si="50"/>
        <v>-97.743650006699724</v>
      </c>
      <c r="J99" s="7">
        <f t="shared" si="50"/>
        <v>-124.84700790566789</v>
      </c>
      <c r="K99" s="7">
        <f t="shared" si="50"/>
        <v>-118.85926437089643</v>
      </c>
    </row>
    <row r="100" spans="3:11" x14ac:dyDescent="0.25">
      <c r="C100" s="3" t="s">
        <v>62</v>
      </c>
      <c r="D100" s="8"/>
      <c r="E100" s="8"/>
      <c r="F100" s="8"/>
      <c r="G100" s="8">
        <f t="shared" ref="G100:K100" si="51">SUM(G98:G99)</f>
        <v>-336.97667291973744</v>
      </c>
      <c r="H100" s="8">
        <f t="shared" si="51"/>
        <v>-337.19527669837873</v>
      </c>
      <c r="I100" s="8">
        <f t="shared" si="51"/>
        <v>-360.49349055339684</v>
      </c>
      <c r="J100" s="8">
        <f t="shared" si="51"/>
        <v>-415.33837464826473</v>
      </c>
      <c r="K100" s="8">
        <f t="shared" si="51"/>
        <v>-428.25334181964359</v>
      </c>
    </row>
    <row r="101" spans="3:11" x14ac:dyDescent="0.25">
      <c r="D101" s="6"/>
      <c r="E101" s="6"/>
      <c r="F101" s="6"/>
      <c r="G101" s="6"/>
      <c r="H101" s="6"/>
      <c r="I101" s="6"/>
      <c r="J101" s="6"/>
      <c r="K101" s="6"/>
    </row>
    <row r="102" spans="3:11" x14ac:dyDescent="0.25">
      <c r="C102" t="s">
        <v>63</v>
      </c>
      <c r="D102" s="6"/>
      <c r="E102" s="6"/>
      <c r="F102" s="6"/>
      <c r="G102" s="6">
        <f>G216+G224+G230</f>
        <v>-901.25</v>
      </c>
      <c r="H102" s="6">
        <f t="shared" ref="H102:K102" ca="1" si="52">H216+H224+H230</f>
        <v>-901.25</v>
      </c>
      <c r="I102" s="6">
        <f t="shared" ca="1" si="52"/>
        <v>-901.25</v>
      </c>
      <c r="J102" s="6">
        <f t="shared" ca="1" si="52"/>
        <v>-901.25</v>
      </c>
      <c r="K102" s="6">
        <f t="shared" ca="1" si="52"/>
        <v>-901.25</v>
      </c>
    </row>
    <row r="103" spans="3:11" x14ac:dyDescent="0.25">
      <c r="C103" t="s">
        <v>64</v>
      </c>
      <c r="D103" s="6"/>
      <c r="E103" s="6"/>
      <c r="F103" s="6"/>
      <c r="G103" s="6">
        <f>-G239</f>
        <v>0</v>
      </c>
      <c r="H103" s="6">
        <f t="shared" ref="H103:K103" si="53">-H239</f>
        <v>0</v>
      </c>
      <c r="I103" s="6">
        <f t="shared" si="53"/>
        <v>0</v>
      </c>
      <c r="J103" s="6">
        <f t="shared" si="53"/>
        <v>0</v>
      </c>
      <c r="K103" s="6">
        <f t="shared" si="53"/>
        <v>0</v>
      </c>
    </row>
    <row r="104" spans="3:11" x14ac:dyDescent="0.25">
      <c r="C104" s="14" t="s">
        <v>65</v>
      </c>
      <c r="D104" s="6"/>
      <c r="E104" s="6"/>
      <c r="F104" s="6"/>
      <c r="G104" s="6">
        <f ca="1">SUM(G102:G103)+G100+G96</f>
        <v>397.46941221766542</v>
      </c>
      <c r="H104" s="6">
        <f ca="1">SUM(H102:H103)+H100+H96</f>
        <v>313.85312257321425</v>
      </c>
      <c r="I104" s="6">
        <f ca="1">SUM(I102:I103)+I100+I96</f>
        <v>532.39958253505506</v>
      </c>
      <c r="J104" s="6">
        <f ca="1">SUM(J102:J103)+J100+J96</f>
        <v>942.45488099152431</v>
      </c>
      <c r="K104" s="6">
        <f ca="1">SUM(K102:K103)+K100+K96</f>
        <v>1126.1997331998623</v>
      </c>
    </row>
    <row r="105" spans="3:11" x14ac:dyDescent="0.25">
      <c r="C105" t="s">
        <v>66</v>
      </c>
      <c r="D105" s="6"/>
      <c r="E105" s="6"/>
      <c r="F105" s="6"/>
      <c r="G105" s="6">
        <f ca="1">G211</f>
        <v>0</v>
      </c>
      <c r="H105" s="6">
        <f t="shared" ref="H105:K105" ca="1" si="54">H211</f>
        <v>0</v>
      </c>
      <c r="I105" s="6">
        <f t="shared" ca="1" si="54"/>
        <v>0</v>
      </c>
      <c r="J105" s="6">
        <f t="shared" ca="1" si="54"/>
        <v>0</v>
      </c>
      <c r="K105" s="6">
        <f t="shared" ca="1" si="54"/>
        <v>0</v>
      </c>
    </row>
    <row r="106" spans="3:11" x14ac:dyDescent="0.25">
      <c r="C106" s="14" t="s">
        <v>67</v>
      </c>
      <c r="D106" s="6"/>
      <c r="E106" s="6"/>
      <c r="F106" s="6"/>
      <c r="G106" s="6">
        <f ca="1">SUM(G104:G105)</f>
        <v>397.46941221766542</v>
      </c>
      <c r="H106" s="6">
        <f t="shared" ref="H106:K106" ca="1" si="55">SUM(H104:H105)</f>
        <v>313.85312257321425</v>
      </c>
      <c r="I106" s="6">
        <f t="shared" ca="1" si="55"/>
        <v>532.39958253505506</v>
      </c>
      <c r="J106" s="6">
        <f t="shared" ca="1" si="55"/>
        <v>942.45488099152431</v>
      </c>
      <c r="K106" s="6">
        <f t="shared" ca="1" si="55"/>
        <v>1126.1997331998623</v>
      </c>
    </row>
    <row r="107" spans="3:11" x14ac:dyDescent="0.25">
      <c r="C107" s="4" t="s">
        <v>68</v>
      </c>
      <c r="D107" s="7"/>
      <c r="E107" s="7"/>
      <c r="F107" s="7"/>
      <c r="G107" s="7">
        <f ca="1">G217</f>
        <v>-397.46941221766542</v>
      </c>
      <c r="H107" s="7">
        <f t="shared" ref="H107:K107" ca="1" si="56">H217</f>
        <v>-313.85312257321425</v>
      </c>
      <c r="I107" s="7">
        <f t="shared" ca="1" si="56"/>
        <v>-532.39958253505506</v>
      </c>
      <c r="J107" s="7">
        <f t="shared" ca="1" si="56"/>
        <v>-942.45488099152431</v>
      </c>
      <c r="K107" s="7">
        <f t="shared" ca="1" si="56"/>
        <v>-1126.1997331998623</v>
      </c>
    </row>
    <row r="108" spans="3:11" x14ac:dyDescent="0.25">
      <c r="C108" s="3" t="s">
        <v>69</v>
      </c>
      <c r="D108" s="8"/>
      <c r="E108" s="8"/>
      <c r="F108" s="8"/>
      <c r="G108" s="8">
        <f ca="1">SUM(G102,G103,G105,G107)</f>
        <v>-1298.7194122176654</v>
      </c>
      <c r="H108" s="8">
        <f t="shared" ref="H108:K108" ca="1" si="57">SUM(H102,H103,H105,H107)</f>
        <v>-1215.1031225732143</v>
      </c>
      <c r="I108" s="8">
        <f t="shared" ca="1" si="57"/>
        <v>-1433.6495825350551</v>
      </c>
      <c r="J108" s="8">
        <f t="shared" ca="1" si="57"/>
        <v>-1843.7048809915243</v>
      </c>
      <c r="K108" s="8">
        <f t="shared" ca="1" si="57"/>
        <v>-2027.4497331998623</v>
      </c>
    </row>
    <row r="109" spans="3:11" x14ac:dyDescent="0.25">
      <c r="D109" s="6"/>
      <c r="E109" s="6"/>
      <c r="F109" s="6"/>
      <c r="G109" s="6"/>
      <c r="H109" s="6"/>
      <c r="I109" s="6"/>
      <c r="J109" s="6"/>
      <c r="K109" s="6"/>
    </row>
    <row r="110" spans="3:11" ht="15.75" thickBot="1" x14ac:dyDescent="0.3">
      <c r="C110" s="65" t="s">
        <v>70</v>
      </c>
      <c r="D110" s="45"/>
      <c r="E110" s="45"/>
      <c r="F110" s="45"/>
      <c r="G110" s="45">
        <f ca="1">G96+G100+G108</f>
        <v>0</v>
      </c>
      <c r="H110" s="45">
        <f t="shared" ref="H110:K110" ca="1" si="58">H96+H100+H108</f>
        <v>0</v>
      </c>
      <c r="I110" s="45">
        <f t="shared" ca="1" si="58"/>
        <v>0</v>
      </c>
      <c r="J110" s="45">
        <f t="shared" ca="1" si="58"/>
        <v>0</v>
      </c>
      <c r="K110" s="45">
        <f t="shared" ca="1" si="58"/>
        <v>0</v>
      </c>
    </row>
    <row r="111" spans="3:11" ht="15.75" thickTop="1" x14ac:dyDescent="0.25"/>
    <row r="113" spans="2:13" x14ac:dyDescent="0.25">
      <c r="B113" t="s">
        <v>72</v>
      </c>
      <c r="C113" s="233" t="s">
        <v>73</v>
      </c>
      <c r="D113" s="234"/>
      <c r="E113" s="234"/>
      <c r="F113" s="234"/>
      <c r="G113" s="234"/>
      <c r="H113" s="234"/>
      <c r="I113" s="234"/>
      <c r="J113" s="234"/>
      <c r="K113" s="235"/>
    </row>
    <row r="114" spans="2:13" x14ac:dyDescent="0.25">
      <c r="C114" s="283" t="s">
        <v>5</v>
      </c>
      <c r="D114" s="275">
        <v>2023</v>
      </c>
      <c r="E114" s="275">
        <v>2024</v>
      </c>
      <c r="F114" s="275">
        <v>2025</v>
      </c>
      <c r="G114" s="276">
        <v>2026</v>
      </c>
      <c r="H114" s="276">
        <v>2027</v>
      </c>
      <c r="I114" s="276">
        <v>2028</v>
      </c>
      <c r="J114" s="276">
        <v>2029</v>
      </c>
      <c r="K114" s="276">
        <v>2030</v>
      </c>
    </row>
    <row r="115" spans="2:13" x14ac:dyDescent="0.25">
      <c r="C115" s="224" t="s">
        <v>6</v>
      </c>
      <c r="D115" s="225">
        <v>45016</v>
      </c>
      <c r="E115" s="225">
        <f>EOMONTH(D115,12)</f>
        <v>45382</v>
      </c>
      <c r="F115" s="225">
        <f t="shared" ref="F115:K115" si="59">EOMONTH(E115,12)</f>
        <v>45747</v>
      </c>
      <c r="G115" s="225">
        <f t="shared" si="59"/>
        <v>46112</v>
      </c>
      <c r="H115" s="225">
        <f t="shared" si="59"/>
        <v>46477</v>
      </c>
      <c r="I115" s="225">
        <f t="shared" si="59"/>
        <v>46843</v>
      </c>
      <c r="J115" s="225">
        <f t="shared" si="59"/>
        <v>47208</v>
      </c>
      <c r="K115" s="225">
        <f t="shared" si="59"/>
        <v>47573</v>
      </c>
    </row>
    <row r="117" spans="2:13" x14ac:dyDescent="0.25">
      <c r="C117" s="18" t="s">
        <v>39</v>
      </c>
    </row>
    <row r="118" spans="2:13" x14ac:dyDescent="0.25">
      <c r="C118" s="1" t="s">
        <v>74</v>
      </c>
      <c r="E118" s="6">
        <f>D120</f>
        <v>684</v>
      </c>
      <c r="F118" s="6">
        <f>E120</f>
        <v>565</v>
      </c>
      <c r="G118" s="6">
        <f t="shared" ref="G118:K118" si="60">F120</f>
        <v>679</v>
      </c>
      <c r="H118" s="6">
        <f t="shared" si="60"/>
        <v>736.23779847246419</v>
      </c>
      <c r="I118" s="6">
        <f t="shared" si="60"/>
        <v>765.35846442449429</v>
      </c>
      <c r="J118" s="6">
        <f t="shared" si="60"/>
        <v>807.27213453034983</v>
      </c>
      <c r="K118" s="6">
        <f t="shared" si="60"/>
        <v>892.505149403725</v>
      </c>
    </row>
    <row r="119" spans="2:13" x14ac:dyDescent="0.25">
      <c r="C119" s="2" t="s">
        <v>75</v>
      </c>
      <c r="D119" s="4"/>
      <c r="E119" s="7">
        <f>E120-E118</f>
        <v>-119</v>
      </c>
      <c r="F119" s="7">
        <f>F120-F118</f>
        <v>114</v>
      </c>
      <c r="G119" s="7">
        <f t="shared" ref="G119:K119" si="61">G120-G118</f>
        <v>57.237798472464192</v>
      </c>
      <c r="H119" s="7">
        <f t="shared" si="61"/>
        <v>29.120665952030095</v>
      </c>
      <c r="I119" s="7">
        <f t="shared" si="61"/>
        <v>41.913670105855545</v>
      </c>
      <c r="J119" s="7">
        <f t="shared" si="61"/>
        <v>85.233014873375168</v>
      </c>
      <c r="K119" s="7">
        <f t="shared" si="61"/>
        <v>58.076654160525209</v>
      </c>
    </row>
    <row r="120" spans="2:13" x14ac:dyDescent="0.25">
      <c r="C120" s="256" t="s">
        <v>76</v>
      </c>
      <c r="D120" s="282">
        <f>D56</f>
        <v>684</v>
      </c>
      <c r="E120" s="282">
        <f>E56</f>
        <v>565</v>
      </c>
      <c r="F120" s="282">
        <f>F56</f>
        <v>679</v>
      </c>
      <c r="G120" s="282">
        <f>IF($D$122=1,F120*(1+G124),2*G13*G125/365-G118)</f>
        <v>736.23779847246419</v>
      </c>
      <c r="H120" s="282">
        <f>IF($D$122=1,G120*(1+H124),2*H13*H125/365-H118)</f>
        <v>765.35846442449429</v>
      </c>
      <c r="I120" s="282">
        <f>IF($D$122=1,H120*(1+I124),2*I13*I125/365-I118)</f>
        <v>807.27213453034983</v>
      </c>
      <c r="J120" s="282">
        <f>IF($D$122=1,I120*(1+J124),2*J13*J125/365-J118)</f>
        <v>892.505149403725</v>
      </c>
      <c r="K120" s="282">
        <f>IF($D$122=1,J120*(1+K124),2*K13*K125/365-K118)</f>
        <v>950.58180356425021</v>
      </c>
    </row>
    <row r="121" spans="2:13" x14ac:dyDescent="0.25">
      <c r="C121" s="1"/>
    </row>
    <row r="122" spans="2:13" x14ac:dyDescent="0.25">
      <c r="C122" s="1" t="s">
        <v>77</v>
      </c>
      <c r="D122" s="27">
        <v>1</v>
      </c>
    </row>
    <row r="123" spans="2:13" x14ac:dyDescent="0.25">
      <c r="C123" s="1"/>
    </row>
    <row r="124" spans="2:13" x14ac:dyDescent="0.25">
      <c r="C124" s="1" t="s">
        <v>78</v>
      </c>
      <c r="E124" s="13">
        <f t="shared" ref="E124:K124" si="62">E41</f>
        <v>1.8314031780231721E-2</v>
      </c>
      <c r="F124" s="13">
        <f t="shared" si="62"/>
        <v>-1.3091774662787659E-2</v>
      </c>
      <c r="G124" s="13">
        <f t="shared" si="62"/>
        <v>8.4297199517620269E-2</v>
      </c>
      <c r="H124" s="13">
        <f t="shared" si="62"/>
        <v>3.9553342700482386E-2</v>
      </c>
      <c r="I124" s="13">
        <f t="shared" si="62"/>
        <v>5.4763450140153935E-2</v>
      </c>
      <c r="J124" s="13">
        <f t="shared" si="62"/>
        <v>0.10558151486668321</v>
      </c>
      <c r="K124" s="13">
        <f t="shared" si="62"/>
        <v>6.5071505973187671E-2</v>
      </c>
      <c r="L124" s="13"/>
      <c r="M124" s="13"/>
    </row>
    <row r="125" spans="2:13" x14ac:dyDescent="0.25">
      <c r="C125" s="1" t="s">
        <v>79</v>
      </c>
      <c r="E125" s="19">
        <f>AVERAGE(D56:E56)/E13*365</f>
        <v>30.143149960327957</v>
      </c>
      <c r="F125" s="19">
        <f>AVERAGE(E56:F56)/F13*365</f>
        <v>30.420742328822193</v>
      </c>
      <c r="G125" s="19">
        <f>F125</f>
        <v>30.420742328822193</v>
      </c>
      <c r="H125" s="19">
        <f t="shared" ref="H125:K125" si="63">G125</f>
        <v>30.420742328822193</v>
      </c>
      <c r="I125" s="19">
        <f t="shared" si="63"/>
        <v>30.420742328822193</v>
      </c>
      <c r="J125" s="19">
        <f t="shared" si="63"/>
        <v>30.420742328822193</v>
      </c>
      <c r="K125" s="19">
        <f t="shared" si="63"/>
        <v>30.420742328822193</v>
      </c>
      <c r="L125" s="19"/>
      <c r="M125" s="19"/>
    </row>
    <row r="127" spans="2:13" x14ac:dyDescent="0.25">
      <c r="C127" s="18" t="s">
        <v>34</v>
      </c>
    </row>
    <row r="128" spans="2:13" x14ac:dyDescent="0.25">
      <c r="C128" s="1" t="s">
        <v>74</v>
      </c>
      <c r="E128" s="6">
        <f>D130</f>
        <v>518</v>
      </c>
      <c r="F128" s="6">
        <f t="shared" ref="F128:K128" si="64">E130</f>
        <v>420</v>
      </c>
      <c r="G128" s="6">
        <f t="shared" si="64"/>
        <v>349</v>
      </c>
      <c r="H128" s="6">
        <f t="shared" si="64"/>
        <v>378.41972263164945</v>
      </c>
      <c r="I128" s="6">
        <f t="shared" si="64"/>
        <v>393.38748760552056</v>
      </c>
      <c r="J128" s="6">
        <f t="shared" si="64"/>
        <v>414.9307436687659</v>
      </c>
      <c r="K128" s="6">
        <f t="shared" si="64"/>
        <v>458.73976015007361</v>
      </c>
    </row>
    <row r="129" spans="3:11" x14ac:dyDescent="0.25">
      <c r="C129" s="2" t="s">
        <v>75</v>
      </c>
      <c r="D129" s="4"/>
      <c r="E129" s="7">
        <f>E130-E128</f>
        <v>-98</v>
      </c>
      <c r="F129" s="7">
        <f t="shared" ref="F129:K129" si="65">F130-F128</f>
        <v>-71</v>
      </c>
      <c r="G129" s="7">
        <f t="shared" si="65"/>
        <v>29.419722631649449</v>
      </c>
      <c r="H129" s="7">
        <f t="shared" si="65"/>
        <v>14.967764973871112</v>
      </c>
      <c r="I129" s="7">
        <f t="shared" si="65"/>
        <v>21.543256063245337</v>
      </c>
      <c r="J129" s="7">
        <f t="shared" si="65"/>
        <v>43.809016481307708</v>
      </c>
      <c r="K129" s="7">
        <f t="shared" si="65"/>
        <v>29.850887042744205</v>
      </c>
    </row>
    <row r="130" spans="3:11" x14ac:dyDescent="0.25">
      <c r="C130" s="256" t="s">
        <v>76</v>
      </c>
      <c r="D130" s="282">
        <f>D57</f>
        <v>518</v>
      </c>
      <c r="E130" s="282">
        <f>E57</f>
        <v>420</v>
      </c>
      <c r="F130" s="282">
        <f>F57</f>
        <v>349</v>
      </c>
      <c r="G130" s="282">
        <f>IF($D$132=1,F130*(1+G134),2*G13*G135/365-G128)</f>
        <v>378.41972263164945</v>
      </c>
      <c r="H130" s="282">
        <f>IF($D$132=1,G130*(1+H134),2*H13*H135/365-H128)</f>
        <v>393.38748760552056</v>
      </c>
      <c r="I130" s="282">
        <f>IF($D$132=1,H130*(1+I134),2*I13*I135/365-I128)</f>
        <v>414.9307436687659</v>
      </c>
      <c r="J130" s="282">
        <f>IF($D$132=1,I130*(1+J134),2*J13*J135/365-J128)</f>
        <v>458.73976015007361</v>
      </c>
      <c r="K130" s="282">
        <f>IF($D$132=1,J130*(1+K134),2*K13*K135/365-K128)</f>
        <v>488.59064719281781</v>
      </c>
    </row>
    <row r="131" spans="3:11" x14ac:dyDescent="0.25">
      <c r="C131" s="1"/>
    </row>
    <row r="132" spans="3:11" x14ac:dyDescent="0.25">
      <c r="C132" s="1" t="s">
        <v>80</v>
      </c>
      <c r="D132" s="27">
        <v>1</v>
      </c>
    </row>
    <row r="133" spans="3:11" x14ac:dyDescent="0.25">
      <c r="C133" s="1"/>
    </row>
    <row r="134" spans="3:11" x14ac:dyDescent="0.25">
      <c r="C134" s="1" t="s">
        <v>78</v>
      </c>
      <c r="E134" s="13">
        <f t="shared" ref="E134:K134" si="66">E41</f>
        <v>1.8314031780231721E-2</v>
      </c>
      <c r="F134" s="13">
        <f t="shared" si="66"/>
        <v>-1.3091774662787659E-2</v>
      </c>
      <c r="G134" s="13">
        <f t="shared" si="66"/>
        <v>8.4297199517620269E-2</v>
      </c>
      <c r="H134" s="13">
        <f t="shared" si="66"/>
        <v>3.9553342700482386E-2</v>
      </c>
      <c r="I134" s="13">
        <f t="shared" si="66"/>
        <v>5.4763450140153935E-2</v>
      </c>
      <c r="J134" s="13">
        <f t="shared" si="66"/>
        <v>0.10558151486668321</v>
      </c>
      <c r="K134" s="13">
        <f t="shared" si="66"/>
        <v>6.5071505973187671E-2</v>
      </c>
    </row>
    <row r="135" spans="3:11" x14ac:dyDescent="0.25">
      <c r="C135" s="1" t="s">
        <v>81</v>
      </c>
      <c r="E135" s="19">
        <f>AVERAGE(D57:E57)/E13*365</f>
        <v>22.637529754033324</v>
      </c>
      <c r="F135" s="19">
        <f>AVERAGE(E57:F57)/F13*365</f>
        <v>18.805105185582207</v>
      </c>
      <c r="G135" s="19">
        <f>F135</f>
        <v>18.805105185582207</v>
      </c>
      <c r="H135" s="19">
        <f t="shared" ref="H135:K135" si="67">G135</f>
        <v>18.805105185582207</v>
      </c>
      <c r="I135" s="19">
        <f t="shared" si="67"/>
        <v>18.805105185582207</v>
      </c>
      <c r="J135" s="19">
        <f t="shared" si="67"/>
        <v>18.805105185582207</v>
      </c>
      <c r="K135" s="19">
        <f t="shared" si="67"/>
        <v>18.805105185582207</v>
      </c>
    </row>
    <row r="136" spans="3:11" x14ac:dyDescent="0.25">
      <c r="C136" s="287"/>
    </row>
    <row r="137" spans="3:11" x14ac:dyDescent="0.25">
      <c r="C137" s="18" t="s">
        <v>82</v>
      </c>
    </row>
    <row r="138" spans="3:11" x14ac:dyDescent="0.25">
      <c r="C138" s="1" t="s">
        <v>74</v>
      </c>
      <c r="E138" s="6">
        <f>D140</f>
        <v>1384</v>
      </c>
      <c r="F138" s="6">
        <f t="shared" ref="F138:K138" si="68">E140</f>
        <v>1276</v>
      </c>
      <c r="G138" s="6">
        <f t="shared" si="68"/>
        <v>1359</v>
      </c>
      <c r="H138" s="6">
        <f t="shared" si="68"/>
        <v>1601.7018895404785</v>
      </c>
      <c r="I138" s="6">
        <f t="shared" si="68"/>
        <v>1665.0545532814835</v>
      </c>
      <c r="J138" s="6">
        <f t="shared" si="68"/>
        <v>1756.2386852907503</v>
      </c>
      <c r="K138" s="6">
        <f t="shared" si="68"/>
        <v>1941.6650261512193</v>
      </c>
    </row>
    <row r="139" spans="3:11" x14ac:dyDescent="0.25">
      <c r="C139" s="2" t="s">
        <v>75</v>
      </c>
      <c r="D139" s="4"/>
      <c r="E139" s="7">
        <f>E140-E138</f>
        <v>-108</v>
      </c>
      <c r="F139" s="7">
        <f t="shared" ref="F139:K139" si="69">F140-F138</f>
        <v>83</v>
      </c>
      <c r="G139" s="7">
        <f t="shared" si="69"/>
        <v>242.70188954047853</v>
      </c>
      <c r="H139" s="7">
        <f t="shared" si="69"/>
        <v>63.352663741005017</v>
      </c>
      <c r="I139" s="7">
        <f t="shared" si="69"/>
        <v>91.184132009266705</v>
      </c>
      <c r="J139" s="7">
        <f t="shared" si="69"/>
        <v>185.42634086046905</v>
      </c>
      <c r="K139" s="7">
        <f t="shared" si="69"/>
        <v>126.34706734712859</v>
      </c>
    </row>
    <row r="140" spans="3:11" x14ac:dyDescent="0.25">
      <c r="C140" s="256" t="s">
        <v>76</v>
      </c>
      <c r="D140" s="282">
        <f>D65</f>
        <v>1384</v>
      </c>
      <c r="E140" s="282">
        <f>E65</f>
        <v>1276</v>
      </c>
      <c r="F140" s="282">
        <f>F65</f>
        <v>1359</v>
      </c>
      <c r="G140" s="282">
        <f>IF($D$142=1,F140*(1+G144),2*-G14*G145/365-G138)</f>
        <v>1601.7018895404785</v>
      </c>
      <c r="H140" s="282">
        <f>IF($D$142=1,G140*(1+H144),2*-H14*H145/365-H138)</f>
        <v>1665.0545532814835</v>
      </c>
      <c r="I140" s="282">
        <f>IF($D$142=1,H140*(1+I144),2*-I14*I145/365-I138)</f>
        <v>1756.2386852907503</v>
      </c>
      <c r="J140" s="282">
        <f>IF($D$142=1,I140*(1+J144),2*-J14*J145/365-J138)</f>
        <v>1941.6650261512193</v>
      </c>
      <c r="K140" s="282">
        <f>IF($D$142=1,J140*(1+K144),2*-K14*K145/365-K138)</f>
        <v>2068.0120934983479</v>
      </c>
    </row>
    <row r="141" spans="3:11" x14ac:dyDescent="0.25">
      <c r="C141" s="1"/>
    </row>
    <row r="142" spans="3:11" x14ac:dyDescent="0.25">
      <c r="C142" s="1" t="s">
        <v>86</v>
      </c>
      <c r="D142" s="27">
        <v>1</v>
      </c>
    </row>
    <row r="143" spans="3:11" x14ac:dyDescent="0.25">
      <c r="C143" s="1"/>
    </row>
    <row r="144" spans="3:11" x14ac:dyDescent="0.25">
      <c r="C144" s="1" t="s">
        <v>87</v>
      </c>
      <c r="E144" s="13">
        <f t="shared" ref="E144:K144" si="70">E14/D14-1</f>
        <v>-4.5758928571428603E-2</v>
      </c>
      <c r="F144" s="13">
        <f t="shared" si="70"/>
        <v>-9.7660818713450337E-2</v>
      </c>
      <c r="G144" s="13">
        <f t="shared" si="70"/>
        <v>0.1785885868583359</v>
      </c>
      <c r="H144" s="13">
        <f t="shared" si="70"/>
        <v>3.9553342700482608E-2</v>
      </c>
      <c r="I144" s="13">
        <f t="shared" si="70"/>
        <v>5.4763450140153935E-2</v>
      </c>
      <c r="J144" s="13">
        <f t="shared" si="70"/>
        <v>0.10558151486668299</v>
      </c>
      <c r="K144" s="13">
        <f t="shared" si="70"/>
        <v>6.5071505973187671E-2</v>
      </c>
    </row>
    <row r="145" spans="2:11" x14ac:dyDescent="0.25">
      <c r="C145" s="1" t="s">
        <v>83</v>
      </c>
      <c r="E145" s="19">
        <f>AVERAGE(D65:E65)/-E14*365</f>
        <v>283.88888888888891</v>
      </c>
      <c r="F145" s="19">
        <f>AVERAGE(E65:F65)/-F14*365</f>
        <v>311.65748541801685</v>
      </c>
      <c r="G145" s="19">
        <f>F145</f>
        <v>311.65748541801685</v>
      </c>
      <c r="H145" s="19">
        <f t="shared" ref="H145:K145" si="71">G145</f>
        <v>311.65748541801685</v>
      </c>
      <c r="I145" s="19">
        <f t="shared" si="71"/>
        <v>311.65748541801685</v>
      </c>
      <c r="J145" s="19">
        <f t="shared" si="71"/>
        <v>311.65748541801685</v>
      </c>
      <c r="K145" s="19">
        <f t="shared" si="71"/>
        <v>311.65748541801685</v>
      </c>
    </row>
    <row r="147" spans="2:11" x14ac:dyDescent="0.25">
      <c r="C147" s="18" t="s">
        <v>43</v>
      </c>
    </row>
    <row r="148" spans="2:11" x14ac:dyDescent="0.25">
      <c r="C148" s="1" t="s">
        <v>74</v>
      </c>
      <c r="E148" s="6">
        <f>D150</f>
        <v>1901</v>
      </c>
      <c r="F148" s="6">
        <f t="shared" ref="F148:K148" si="72">E150</f>
        <v>1814</v>
      </c>
      <c r="G148" s="6">
        <f t="shared" si="72"/>
        <v>1700</v>
      </c>
      <c r="H148" s="6">
        <f t="shared" si="72"/>
        <v>1843.3052391799545</v>
      </c>
      <c r="I148" s="6">
        <f t="shared" si="72"/>
        <v>1916.2141230068339</v>
      </c>
      <c r="J148" s="6">
        <f t="shared" si="72"/>
        <v>2021.1526195899776</v>
      </c>
      <c r="K148" s="6">
        <f t="shared" si="72"/>
        <v>2234.5489749430526</v>
      </c>
    </row>
    <row r="149" spans="2:11" x14ac:dyDescent="0.25">
      <c r="C149" s="2" t="s">
        <v>75</v>
      </c>
      <c r="D149" s="4"/>
      <c r="E149" s="7">
        <f>E150-E148</f>
        <v>-87</v>
      </c>
      <c r="F149" s="7">
        <f t="shared" ref="F149:K149" si="73">F150-F148</f>
        <v>-114</v>
      </c>
      <c r="G149" s="7">
        <f t="shared" si="73"/>
        <v>143.30523917995447</v>
      </c>
      <c r="H149" s="7">
        <f t="shared" si="73"/>
        <v>72.908883826879446</v>
      </c>
      <c r="I149" s="7">
        <f t="shared" si="73"/>
        <v>104.93849658314366</v>
      </c>
      <c r="J149" s="7">
        <f t="shared" si="73"/>
        <v>213.39635535307502</v>
      </c>
      <c r="K149" s="7">
        <f t="shared" si="73"/>
        <v>145.40546697038735</v>
      </c>
    </row>
    <row r="150" spans="2:11" x14ac:dyDescent="0.25">
      <c r="C150" s="256" t="s">
        <v>76</v>
      </c>
      <c r="D150" s="282">
        <f>D66</f>
        <v>1901</v>
      </c>
      <c r="E150" s="282">
        <f>E66</f>
        <v>1814</v>
      </c>
      <c r="F150" s="282">
        <f>F66</f>
        <v>1700</v>
      </c>
      <c r="G150" s="282">
        <f>IF($D$152=1,F150*(1+G154),2*G13*G155/365-G148)</f>
        <v>1843.3052391799545</v>
      </c>
      <c r="H150" s="282">
        <f>IF($D$152=1,G150*(1+H154),2*H13*H155/365-H148)</f>
        <v>1916.2141230068339</v>
      </c>
      <c r="I150" s="282">
        <f>IF($D$152=1,H150*(1+I154),2*I13*I155/365-I148)</f>
        <v>2021.1526195899776</v>
      </c>
      <c r="J150" s="282">
        <f>IF($D$152=1,I150*(1+J154),2*J13*J155/365-J148)</f>
        <v>2234.5489749430526</v>
      </c>
      <c r="K150" s="282">
        <f>IF($D$152=1,J150*(1+K154),2*K13*K155/365-K148)</f>
        <v>2379.95444191344</v>
      </c>
    </row>
    <row r="151" spans="2:11" x14ac:dyDescent="0.25">
      <c r="C151" s="1"/>
    </row>
    <row r="152" spans="2:11" x14ac:dyDescent="0.25">
      <c r="C152" s="1" t="s">
        <v>84</v>
      </c>
      <c r="D152" s="27">
        <v>1</v>
      </c>
    </row>
    <row r="153" spans="2:11" x14ac:dyDescent="0.25">
      <c r="C153" s="1"/>
    </row>
    <row r="154" spans="2:11" x14ac:dyDescent="0.25">
      <c r="C154" s="1" t="s">
        <v>78</v>
      </c>
      <c r="E154" s="13">
        <f t="shared" ref="E154:K154" si="74">E41</f>
        <v>1.8314031780231721E-2</v>
      </c>
      <c r="F154" s="13">
        <f t="shared" si="74"/>
        <v>-1.3091774662787659E-2</v>
      </c>
      <c r="G154" s="13">
        <f t="shared" si="74"/>
        <v>8.4297199517620269E-2</v>
      </c>
      <c r="H154" s="13">
        <f t="shared" si="74"/>
        <v>3.9553342700482386E-2</v>
      </c>
      <c r="I154" s="13">
        <f t="shared" si="74"/>
        <v>5.4763450140153935E-2</v>
      </c>
      <c r="J154" s="13">
        <f t="shared" si="74"/>
        <v>0.10558151486668321</v>
      </c>
      <c r="K154" s="13">
        <f t="shared" si="74"/>
        <v>6.5071505973187671E-2</v>
      </c>
    </row>
    <row r="155" spans="2:11" x14ac:dyDescent="0.25">
      <c r="C155" s="1" t="s">
        <v>85</v>
      </c>
      <c r="E155" s="19">
        <f>AVERAGE(D66:E66)/E13*365</f>
        <v>89.657167416027505</v>
      </c>
      <c r="F155" s="19">
        <f>AVERAGE(E66:F66)/F13*365</f>
        <v>85.931260887042754</v>
      </c>
      <c r="G155" s="19">
        <f>F155</f>
        <v>85.931260887042754</v>
      </c>
      <c r="H155" s="19">
        <f t="shared" ref="H155:K155" si="75">G155</f>
        <v>85.931260887042754</v>
      </c>
      <c r="I155" s="19">
        <f t="shared" si="75"/>
        <v>85.931260887042754</v>
      </c>
      <c r="J155" s="19">
        <f t="shared" si="75"/>
        <v>85.931260887042754</v>
      </c>
      <c r="K155" s="19">
        <f t="shared" si="75"/>
        <v>85.931260887042754</v>
      </c>
    </row>
    <row r="157" spans="2:11" x14ac:dyDescent="0.25">
      <c r="B157" t="s">
        <v>72</v>
      </c>
      <c r="C157" s="233" t="s">
        <v>89</v>
      </c>
      <c r="D157" s="234"/>
      <c r="E157" s="234"/>
      <c r="F157" s="234"/>
      <c r="G157" s="234"/>
      <c r="H157" s="234"/>
      <c r="I157" s="234"/>
      <c r="J157" s="234"/>
      <c r="K157" s="235"/>
    </row>
    <row r="158" spans="2:11" x14ac:dyDescent="0.25">
      <c r="C158" s="283" t="s">
        <v>5</v>
      </c>
      <c r="D158" s="275">
        <v>2023</v>
      </c>
      <c r="E158" s="275">
        <v>2024</v>
      </c>
      <c r="F158" s="275">
        <v>2025</v>
      </c>
      <c r="G158" s="276">
        <v>2026</v>
      </c>
      <c r="H158" s="276">
        <v>2027</v>
      </c>
      <c r="I158" s="276">
        <v>2028</v>
      </c>
      <c r="J158" s="276">
        <v>2029</v>
      </c>
      <c r="K158" s="276">
        <v>2030</v>
      </c>
    </row>
    <row r="159" spans="2:11" x14ac:dyDescent="0.25">
      <c r="C159" s="224" t="s">
        <v>6</v>
      </c>
      <c r="D159" s="225">
        <v>45016</v>
      </c>
      <c r="E159" s="225">
        <f>EOMONTH(D159,12)</f>
        <v>45382</v>
      </c>
      <c r="F159" s="225">
        <f t="shared" ref="F159:K159" si="76">EOMONTH(E159,12)</f>
        <v>45747</v>
      </c>
      <c r="G159" s="225">
        <f t="shared" si="76"/>
        <v>46112</v>
      </c>
      <c r="H159" s="225">
        <f t="shared" si="76"/>
        <v>46477</v>
      </c>
      <c r="I159" s="225">
        <f t="shared" si="76"/>
        <v>46843</v>
      </c>
      <c r="J159" s="225">
        <f t="shared" si="76"/>
        <v>47208</v>
      </c>
      <c r="K159" s="225">
        <f t="shared" si="76"/>
        <v>47573</v>
      </c>
    </row>
    <row r="161" spans="3:11" x14ac:dyDescent="0.25">
      <c r="C161" t="s">
        <v>74</v>
      </c>
      <c r="D161" s="6"/>
      <c r="E161" s="6">
        <f>D164</f>
        <v>549</v>
      </c>
      <c r="F161" s="6">
        <f>E164</f>
        <v>578</v>
      </c>
      <c r="G161" s="6">
        <f t="shared" ref="G161:K161" si="77">F164</f>
        <v>586</v>
      </c>
      <c r="H161" s="6">
        <f t="shared" si="77"/>
        <v>578.10374487471518</v>
      </c>
      <c r="I161" s="6">
        <f t="shared" si="77"/>
        <v>609.70407744874706</v>
      </c>
      <c r="J161" s="6">
        <f t="shared" si="77"/>
        <v>650.3004464692483</v>
      </c>
      <c r="K161" s="6">
        <f t="shared" si="77"/>
        <v>689.28246833712979</v>
      </c>
    </row>
    <row r="162" spans="3:11" x14ac:dyDescent="0.25">
      <c r="C162" t="s">
        <v>90</v>
      </c>
      <c r="D162" s="6">
        <v>207</v>
      </c>
      <c r="E162" s="6">
        <v>199</v>
      </c>
      <c r="F162" s="6">
        <v>221</v>
      </c>
      <c r="G162" s="6">
        <f>F162*(1+G41)</f>
        <v>239.62968109339408</v>
      </c>
      <c r="H162" s="6">
        <f>G162*(1+H41)</f>
        <v>249.10783599088842</v>
      </c>
      <c r="I162" s="6">
        <f>H162*(1+I41)</f>
        <v>262.7498405466971</v>
      </c>
      <c r="J162" s="6">
        <f>I162*(1+J41)</f>
        <v>290.49136674259682</v>
      </c>
      <c r="K162" s="6">
        <f>J162*(1+K41)</f>
        <v>309.39407744874717</v>
      </c>
    </row>
    <row r="163" spans="3:11" x14ac:dyDescent="0.25">
      <c r="C163" s="4" t="s">
        <v>91</v>
      </c>
      <c r="D163" s="7">
        <v>-193</v>
      </c>
      <c r="E163" s="7">
        <f>E164-E162-E161</f>
        <v>-170</v>
      </c>
      <c r="F163" s="7">
        <f>F164-F162-F161</f>
        <v>-213</v>
      </c>
      <c r="G163" s="7">
        <f>-G181</f>
        <v>-247.52593621867885</v>
      </c>
      <c r="H163" s="7">
        <f t="shared" ref="H163:K163" si="78">-H181</f>
        <v>-217.50750341685651</v>
      </c>
      <c r="I163" s="7">
        <f t="shared" si="78"/>
        <v>-222.15347152619591</v>
      </c>
      <c r="J163" s="7">
        <f t="shared" si="78"/>
        <v>-251.50934487471531</v>
      </c>
      <c r="K163" s="7">
        <f t="shared" si="78"/>
        <v>-296.14272036446471</v>
      </c>
    </row>
    <row r="164" spans="3:11" x14ac:dyDescent="0.25">
      <c r="C164" s="283" t="s">
        <v>76</v>
      </c>
      <c r="D164" s="282">
        <f>D58</f>
        <v>549</v>
      </c>
      <c r="E164" s="282">
        <f>E58</f>
        <v>578</v>
      </c>
      <c r="F164" s="282">
        <f>F58</f>
        <v>586</v>
      </c>
      <c r="G164" s="282">
        <f>SUM(G161:G163)</f>
        <v>578.10374487471518</v>
      </c>
      <c r="H164" s="282">
        <f t="shared" ref="H164:K164" si="79">SUM(H161:H163)</f>
        <v>609.70407744874706</v>
      </c>
      <c r="I164" s="282">
        <f t="shared" si="79"/>
        <v>650.3004464692483</v>
      </c>
      <c r="J164" s="282">
        <f t="shared" si="79"/>
        <v>689.28246833712979</v>
      </c>
      <c r="K164" s="282">
        <f t="shared" si="79"/>
        <v>702.53382542141219</v>
      </c>
    </row>
    <row r="165" spans="3:11" x14ac:dyDescent="0.25">
      <c r="F165" s="6"/>
      <c r="G165" s="6"/>
      <c r="H165" s="6"/>
    </row>
    <row r="166" spans="3:11" x14ac:dyDescent="0.25">
      <c r="C166" s="12" t="s">
        <v>92</v>
      </c>
      <c r="D166" s="4"/>
      <c r="E166" s="4"/>
      <c r="F166" s="4"/>
      <c r="G166" s="4"/>
      <c r="H166" s="4"/>
      <c r="I166" s="4"/>
      <c r="J166" s="4"/>
      <c r="K166" s="4"/>
    </row>
    <row r="167" spans="3:11" x14ac:dyDescent="0.25">
      <c r="C167" t="s">
        <v>93</v>
      </c>
      <c r="E167" s="11">
        <v>1737</v>
      </c>
      <c r="F167" s="11">
        <v>1837</v>
      </c>
    </row>
    <row r="168" spans="3:11" x14ac:dyDescent="0.25">
      <c r="C168" t="s">
        <v>94</v>
      </c>
      <c r="E168" s="11">
        <v>114</v>
      </c>
      <c r="F168" s="11">
        <v>87</v>
      </c>
    </row>
    <row r="169" spans="3:11" x14ac:dyDescent="0.25">
      <c r="C169" t="s">
        <v>95</v>
      </c>
      <c r="E169" s="11">
        <v>-1159</v>
      </c>
      <c r="F169" s="11">
        <v>-1251</v>
      </c>
    </row>
    <row r="170" spans="3:11" x14ac:dyDescent="0.25">
      <c r="C170" t="s">
        <v>96</v>
      </c>
      <c r="E170" s="6">
        <f>E167-E168+E169</f>
        <v>464</v>
      </c>
      <c r="F170" s="6">
        <f>F167-F168+F169</f>
        <v>499</v>
      </c>
    </row>
    <row r="172" spans="3:11" x14ac:dyDescent="0.25">
      <c r="C172" t="s">
        <v>97</v>
      </c>
      <c r="D172" s="288">
        <f>IF(D173,D173,ROUND((F167-F168)/-F163,0))</f>
        <v>5</v>
      </c>
    </row>
    <row r="173" spans="3:11" x14ac:dyDescent="0.25">
      <c r="C173" t="s">
        <v>98</v>
      </c>
      <c r="D173" s="340">
        <v>5</v>
      </c>
      <c r="E173" s="287"/>
    </row>
    <row r="174" spans="3:11" x14ac:dyDescent="0.25">
      <c r="E174" s="6"/>
      <c r="F174" s="6"/>
      <c r="G174" s="6"/>
      <c r="H174" s="6"/>
      <c r="I174" s="6"/>
      <c r="J174" s="6"/>
      <c r="K174" s="6"/>
    </row>
    <row r="175" spans="3:11" x14ac:dyDescent="0.25">
      <c r="C175" t="s">
        <v>99</v>
      </c>
      <c r="D175" s="21" t="s">
        <v>106</v>
      </c>
      <c r="E175" s="6"/>
      <c r="F175" s="6"/>
      <c r="G175" s="6">
        <f>DDB($F$170,0,$D$172,G158-$F$158)</f>
        <v>199.60000000000002</v>
      </c>
      <c r="H175" s="6">
        <f t="shared" ref="H175:K175" si="80">DDB($F$170,0,$D$172,H158-$F$158)</f>
        <v>119.75999999999999</v>
      </c>
      <c r="I175" s="6">
        <f t="shared" si="80"/>
        <v>71.855999999999995</v>
      </c>
      <c r="J175" s="6">
        <f t="shared" si="80"/>
        <v>43.113599999999998</v>
      </c>
      <c r="K175" s="6">
        <f t="shared" si="80"/>
        <v>25.868160000000003</v>
      </c>
    </row>
    <row r="176" spans="3:11" x14ac:dyDescent="0.25">
      <c r="C176" t="s">
        <v>100</v>
      </c>
      <c r="D176" s="27">
        <v>1</v>
      </c>
      <c r="E176" s="6"/>
      <c r="F176" s="6"/>
      <c r="G176" s="6">
        <f>D176*G162/D172</f>
        <v>47.925936218678814</v>
      </c>
      <c r="H176" s="6">
        <f>$G$162/$D$172</f>
        <v>47.925936218678814</v>
      </c>
      <c r="I176" s="6">
        <f t="shared" ref="I176:K176" si="81">$G$162/$D$172</f>
        <v>47.925936218678814</v>
      </c>
      <c r="J176" s="6">
        <f t="shared" si="81"/>
        <v>47.925936218678814</v>
      </c>
      <c r="K176" s="6">
        <f t="shared" si="81"/>
        <v>47.925936218678814</v>
      </c>
    </row>
    <row r="177" spans="2:11" x14ac:dyDescent="0.25">
      <c r="C177" t="s">
        <v>101</v>
      </c>
      <c r="E177" s="6"/>
      <c r="F177" s="6"/>
      <c r="G177" s="6"/>
      <c r="H177" s="6">
        <f>D176*H162/D172</f>
        <v>49.821567198177682</v>
      </c>
      <c r="I177" s="6">
        <f>$H$162/$D$172</f>
        <v>49.821567198177682</v>
      </c>
      <c r="J177" s="6">
        <f t="shared" ref="J177:K177" si="82">$H$162/$D$172</f>
        <v>49.821567198177682</v>
      </c>
      <c r="K177" s="6">
        <f t="shared" si="82"/>
        <v>49.821567198177682</v>
      </c>
    </row>
    <row r="178" spans="2:11" x14ac:dyDescent="0.25">
      <c r="C178" t="s">
        <v>102</v>
      </c>
      <c r="E178" s="6"/>
      <c r="F178" s="6"/>
      <c r="G178" s="6"/>
      <c r="H178" s="6"/>
      <c r="I178" s="6">
        <f>D176*I162/D172</f>
        <v>52.549968109339417</v>
      </c>
      <c r="J178" s="6">
        <f>$I$162/$D$172</f>
        <v>52.549968109339417</v>
      </c>
      <c r="K178" s="6">
        <f>$I$162/$D$172</f>
        <v>52.549968109339417</v>
      </c>
    </row>
    <row r="179" spans="2:11" x14ac:dyDescent="0.25">
      <c r="C179" t="s">
        <v>103</v>
      </c>
      <c r="E179" s="6"/>
      <c r="F179" s="6"/>
      <c r="G179" s="6"/>
      <c r="H179" s="6"/>
      <c r="I179" s="6"/>
      <c r="J179" s="6">
        <f>D176*J162/D172</f>
        <v>58.098273348519363</v>
      </c>
      <c r="K179" s="6">
        <f>$J$162/D172</f>
        <v>58.098273348519363</v>
      </c>
    </row>
    <row r="180" spans="2:11" x14ac:dyDescent="0.25">
      <c r="C180" s="4" t="s">
        <v>104</v>
      </c>
      <c r="D180" s="4"/>
      <c r="E180" s="7"/>
      <c r="F180" s="7"/>
      <c r="G180" s="7"/>
      <c r="H180" s="7"/>
      <c r="I180" s="7"/>
      <c r="J180" s="7"/>
      <c r="K180" s="7">
        <f>D176*K162/D172</f>
        <v>61.878815489749435</v>
      </c>
    </row>
    <row r="181" spans="2:11" x14ac:dyDescent="0.25">
      <c r="C181" s="283" t="s">
        <v>105</v>
      </c>
      <c r="D181" s="283"/>
      <c r="E181" s="282"/>
      <c r="F181" s="282"/>
      <c r="G181" s="282">
        <f t="shared" ref="G181:K181" si="83">SUM(G175:G180)</f>
        <v>247.52593621867885</v>
      </c>
      <c r="H181" s="282">
        <f t="shared" si="83"/>
        <v>217.50750341685651</v>
      </c>
      <c r="I181" s="282">
        <f t="shared" si="83"/>
        <v>222.15347152619591</v>
      </c>
      <c r="J181" s="282">
        <f t="shared" si="83"/>
        <v>251.50934487471531</v>
      </c>
      <c r="K181" s="282">
        <f t="shared" si="83"/>
        <v>296.14272036446471</v>
      </c>
    </row>
    <row r="183" spans="2:11" x14ac:dyDescent="0.25">
      <c r="B183" t="s">
        <v>72</v>
      </c>
      <c r="C183" s="233" t="s">
        <v>107</v>
      </c>
      <c r="D183" s="234"/>
      <c r="E183" s="234"/>
      <c r="F183" s="234"/>
      <c r="G183" s="234"/>
      <c r="H183" s="234"/>
      <c r="I183" s="234"/>
      <c r="J183" s="234"/>
      <c r="K183" s="235"/>
    </row>
    <row r="184" spans="2:11" x14ac:dyDescent="0.25">
      <c r="C184" s="283" t="s">
        <v>5</v>
      </c>
      <c r="D184" s="275">
        <v>2023</v>
      </c>
      <c r="E184" s="275">
        <v>2024</v>
      </c>
      <c r="F184" s="275">
        <v>2025</v>
      </c>
      <c r="G184" s="276">
        <v>2026</v>
      </c>
      <c r="H184" s="276">
        <v>2027</v>
      </c>
      <c r="I184" s="276">
        <v>2028</v>
      </c>
      <c r="J184" s="276">
        <v>2029</v>
      </c>
      <c r="K184" s="276">
        <v>2030</v>
      </c>
    </row>
    <row r="185" spans="2:11" x14ac:dyDescent="0.25">
      <c r="C185" s="224" t="s">
        <v>6</v>
      </c>
      <c r="D185" s="225">
        <v>45016</v>
      </c>
      <c r="E185" s="225">
        <f>EOMONTH(D185,12)</f>
        <v>45382</v>
      </c>
      <c r="F185" s="225">
        <f t="shared" ref="F185:K185" si="84">EOMONTH(E185,12)</f>
        <v>45747</v>
      </c>
      <c r="G185" s="225">
        <f t="shared" si="84"/>
        <v>46112</v>
      </c>
      <c r="H185" s="225">
        <f t="shared" si="84"/>
        <v>46477</v>
      </c>
      <c r="I185" s="225">
        <f t="shared" si="84"/>
        <v>46843</v>
      </c>
      <c r="J185" s="225">
        <f t="shared" si="84"/>
        <v>47208</v>
      </c>
      <c r="K185" s="225">
        <f t="shared" si="84"/>
        <v>47573</v>
      </c>
    </row>
    <row r="187" spans="2:11" x14ac:dyDescent="0.25">
      <c r="C187" t="s">
        <v>74</v>
      </c>
      <c r="D187" s="6"/>
      <c r="E187" s="6">
        <f>D190</f>
        <v>618</v>
      </c>
      <c r="F187" s="6">
        <f t="shared" ref="F187:K187" si="85">E190</f>
        <v>400</v>
      </c>
      <c r="G187" s="6">
        <f t="shared" si="85"/>
        <v>293</v>
      </c>
      <c r="H187" s="6">
        <f t="shared" si="85"/>
        <v>317.69907945866277</v>
      </c>
      <c r="I187" s="6">
        <f t="shared" si="85"/>
        <v>330.26514002411903</v>
      </c>
      <c r="J187" s="6">
        <f t="shared" si="85"/>
        <v>348.35159855286082</v>
      </c>
      <c r="K187" s="6">
        <f t="shared" si="85"/>
        <v>385.13108803430254</v>
      </c>
    </row>
    <row r="188" spans="2:11" x14ac:dyDescent="0.25">
      <c r="C188" t="s">
        <v>108</v>
      </c>
      <c r="D188" s="6"/>
      <c r="E188" s="6">
        <f>E190-E187-E189</f>
        <v>-146</v>
      </c>
      <c r="F188" s="6">
        <f>F190-F187-F189</f>
        <v>-40</v>
      </c>
      <c r="G188" s="6">
        <f t="shared" ref="G188:K188" si="86">G190-G187-G189</f>
        <v>97.346991826343327</v>
      </c>
      <c r="H188" s="6">
        <f t="shared" si="86"/>
        <v>88.087440707490316</v>
      </c>
      <c r="I188" s="6">
        <f t="shared" si="86"/>
        <v>97.743650006699724</v>
      </c>
      <c r="J188" s="6">
        <f t="shared" si="86"/>
        <v>124.84700790566789</v>
      </c>
      <c r="K188" s="6">
        <f t="shared" si="86"/>
        <v>118.85926437089643</v>
      </c>
    </row>
    <row r="189" spans="2:11" x14ac:dyDescent="0.25">
      <c r="C189" s="4" t="s">
        <v>109</v>
      </c>
      <c r="D189" s="7">
        <v>-52</v>
      </c>
      <c r="E189" s="7">
        <v>-72</v>
      </c>
      <c r="F189" s="22">
        <v>-67</v>
      </c>
      <c r="G189" s="7">
        <f>F189*(1+G41)</f>
        <v>-72.647912367680561</v>
      </c>
      <c r="H189" s="7">
        <f>G189*(1+H41)</f>
        <v>-75.521380142034047</v>
      </c>
      <c r="I189" s="7">
        <f>H189*(1+I41)</f>
        <v>-79.657191477957937</v>
      </c>
      <c r="J189" s="7">
        <f>I189*(1+J41)</f>
        <v>-88.067518424226179</v>
      </c>
      <c r="K189" s="7">
        <f>J189*(1+K41)</f>
        <v>-93.798204475412035</v>
      </c>
    </row>
    <row r="190" spans="2:11" x14ac:dyDescent="0.25">
      <c r="C190" s="283" t="s">
        <v>76</v>
      </c>
      <c r="D190" s="282">
        <f>D60</f>
        <v>618</v>
      </c>
      <c r="E190" s="282">
        <f>E60</f>
        <v>400</v>
      </c>
      <c r="F190" s="282">
        <f>F60</f>
        <v>293</v>
      </c>
      <c r="G190" s="282">
        <f>F190*(1+G41)</f>
        <v>317.69907945866277</v>
      </c>
      <c r="H190" s="282">
        <f>G190*(1+H41)</f>
        <v>330.26514002411903</v>
      </c>
      <c r="I190" s="282">
        <f>H190*(1+I41)</f>
        <v>348.35159855286082</v>
      </c>
      <c r="J190" s="282">
        <f>I190*(1+J41)</f>
        <v>385.13108803430254</v>
      </c>
      <c r="K190" s="282">
        <f>J190*(1+K41)</f>
        <v>410.19214792978693</v>
      </c>
    </row>
    <row r="192" spans="2:11" x14ac:dyDescent="0.25">
      <c r="B192" t="s">
        <v>72</v>
      </c>
      <c r="C192" s="233" t="s">
        <v>110</v>
      </c>
      <c r="D192" s="234"/>
      <c r="E192" s="234"/>
      <c r="F192" s="234"/>
      <c r="G192" s="234"/>
      <c r="H192" s="234"/>
      <c r="I192" s="234"/>
      <c r="J192" s="234"/>
      <c r="K192" s="235"/>
    </row>
    <row r="193" spans="3:11" x14ac:dyDescent="0.25">
      <c r="C193" s="283" t="s">
        <v>5</v>
      </c>
      <c r="D193" s="275">
        <v>2023</v>
      </c>
      <c r="E193" s="275">
        <v>2024</v>
      </c>
      <c r="F193" s="275">
        <v>2025</v>
      </c>
      <c r="G193" s="276">
        <v>2026</v>
      </c>
      <c r="H193" s="276">
        <v>2027</v>
      </c>
      <c r="I193" s="276">
        <v>2028</v>
      </c>
      <c r="J193" s="276">
        <v>2029</v>
      </c>
      <c r="K193" s="276">
        <v>2030</v>
      </c>
    </row>
    <row r="194" spans="3:11" x14ac:dyDescent="0.25">
      <c r="C194" s="224" t="s">
        <v>6</v>
      </c>
      <c r="D194" s="225">
        <v>45016</v>
      </c>
      <c r="E194" s="225">
        <f>EOMONTH(D194,12)</f>
        <v>45382</v>
      </c>
      <c r="F194" s="225">
        <f t="shared" ref="F194:K194" si="87">EOMONTH(E194,12)</f>
        <v>45747</v>
      </c>
      <c r="G194" s="225">
        <f t="shared" si="87"/>
        <v>46112</v>
      </c>
      <c r="H194" s="225">
        <f t="shared" si="87"/>
        <v>46477</v>
      </c>
      <c r="I194" s="225">
        <f t="shared" si="87"/>
        <v>46843</v>
      </c>
      <c r="J194" s="225">
        <f t="shared" si="87"/>
        <v>47208</v>
      </c>
      <c r="K194" s="225">
        <f t="shared" si="87"/>
        <v>47573</v>
      </c>
    </row>
    <row r="195" spans="3:11" x14ac:dyDescent="0.25">
      <c r="C195" s="3"/>
      <c r="D195" s="23"/>
      <c r="E195" s="23"/>
      <c r="F195" s="23"/>
      <c r="G195" s="23"/>
      <c r="H195" s="23"/>
      <c r="I195" s="23"/>
      <c r="J195" s="23"/>
      <c r="K195" s="23"/>
    </row>
    <row r="196" spans="3:11" x14ac:dyDescent="0.25">
      <c r="C196" s="3" t="s">
        <v>124</v>
      </c>
    </row>
    <row r="197" spans="3:11" x14ac:dyDescent="0.25">
      <c r="C197" t="s">
        <v>119</v>
      </c>
      <c r="D197" s="6"/>
      <c r="E197" s="6"/>
      <c r="F197" s="6"/>
      <c r="G197" s="6">
        <f>LBO!$D$15</f>
        <v>200</v>
      </c>
      <c r="H197" s="6">
        <f ca="1">G199</f>
        <v>200</v>
      </c>
      <c r="I197" s="6">
        <f t="shared" ref="I197:K197" ca="1" si="88">H199</f>
        <v>200</v>
      </c>
      <c r="J197" s="6">
        <f t="shared" ca="1" si="88"/>
        <v>200</v>
      </c>
      <c r="K197" s="6">
        <f t="shared" ca="1" si="88"/>
        <v>200</v>
      </c>
    </row>
    <row r="198" spans="3:11" x14ac:dyDescent="0.25">
      <c r="C198" s="4" t="s">
        <v>117</v>
      </c>
      <c r="D198" s="7"/>
      <c r="E198" s="7"/>
      <c r="F198" s="7"/>
      <c r="G198" s="7">
        <f ca="1">G110</f>
        <v>0</v>
      </c>
      <c r="H198" s="7">
        <f ca="1">H110</f>
        <v>0</v>
      </c>
      <c r="I198" s="7">
        <f ca="1">I110</f>
        <v>0</v>
      </c>
      <c r="J198" s="7">
        <f ca="1">J110</f>
        <v>0</v>
      </c>
      <c r="K198" s="7">
        <f ca="1">K110</f>
        <v>0</v>
      </c>
    </row>
    <row r="199" spans="3:11" x14ac:dyDescent="0.25">
      <c r="C199" s="283" t="s">
        <v>118</v>
      </c>
      <c r="D199" s="282">
        <f>D55</f>
        <v>2767</v>
      </c>
      <c r="E199" s="282">
        <f>E55</f>
        <v>3262</v>
      </c>
      <c r="F199" s="282">
        <f>F55</f>
        <v>2248</v>
      </c>
      <c r="G199" s="282">
        <f ca="1">SUM(G197:G198)</f>
        <v>200</v>
      </c>
      <c r="H199" s="282">
        <f t="shared" ref="H199:K199" ca="1" si="89">SUM(H197:H198)</f>
        <v>200</v>
      </c>
      <c r="I199" s="282">
        <f t="shared" ca="1" si="89"/>
        <v>200</v>
      </c>
      <c r="J199" s="282">
        <f t="shared" ca="1" si="89"/>
        <v>200</v>
      </c>
      <c r="K199" s="282">
        <f t="shared" ca="1" si="89"/>
        <v>200</v>
      </c>
    </row>
    <row r="200" spans="3:11" x14ac:dyDescent="0.25">
      <c r="C200" t="s">
        <v>120</v>
      </c>
      <c r="D200" s="13"/>
      <c r="E200" s="13">
        <f>E201/AVERAGE(D199:E199)</f>
        <v>4.1797976447172001E-2</v>
      </c>
      <c r="F200" s="13">
        <f>F201/AVERAGE(E199:F199)</f>
        <v>4.5372050816696916E-2</v>
      </c>
      <c r="G200" s="13">
        <f>F200</f>
        <v>4.5372050816696916E-2</v>
      </c>
      <c r="H200" s="13">
        <f t="shared" ref="H200:K200" si="90">G200</f>
        <v>4.5372050816696916E-2</v>
      </c>
      <c r="I200" s="13">
        <f t="shared" si="90"/>
        <v>4.5372050816696916E-2</v>
      </c>
      <c r="J200" s="13">
        <f t="shared" si="90"/>
        <v>4.5372050816696916E-2</v>
      </c>
      <c r="K200" s="13">
        <f t="shared" si="90"/>
        <v>4.5372050816696916E-2</v>
      </c>
    </row>
    <row r="201" spans="3:11" x14ac:dyDescent="0.25">
      <c r="C201" t="s">
        <v>16</v>
      </c>
      <c r="D201" s="6">
        <f>D25</f>
        <v>49</v>
      </c>
      <c r="E201" s="6">
        <f>E25</f>
        <v>126</v>
      </c>
      <c r="F201" s="6">
        <f>F25</f>
        <v>125</v>
      </c>
      <c r="G201" s="6">
        <f ca="1">IF($D$5=1,G200*AVERAGE(G197,G199),0)</f>
        <v>9.0744101633393832</v>
      </c>
      <c r="H201" s="6">
        <f t="shared" ref="H201:K201" ca="1" si="91">IF($D$5=1,H200*AVERAGE(H197,H199),0)</f>
        <v>9.0744101633393832</v>
      </c>
      <c r="I201" s="6">
        <f t="shared" ca="1" si="91"/>
        <v>9.0744101633393832</v>
      </c>
      <c r="J201" s="6">
        <f t="shared" ca="1" si="91"/>
        <v>9.0744101633393832</v>
      </c>
      <c r="K201" s="6">
        <f t="shared" ca="1" si="91"/>
        <v>9.0744101633393832</v>
      </c>
    </row>
    <row r="203" spans="3:11" x14ac:dyDescent="0.25">
      <c r="C203" s="3" t="s">
        <v>66</v>
      </c>
    </row>
    <row r="204" spans="3:11" x14ac:dyDescent="0.25">
      <c r="C204" t="s">
        <v>71</v>
      </c>
      <c r="D204" s="6"/>
      <c r="E204" s="6"/>
      <c r="F204" s="6"/>
      <c r="G204" s="6">
        <f>G197</f>
        <v>200</v>
      </c>
      <c r="H204" s="6">
        <f t="shared" ref="H204:K204" ca="1" si="92">H197</f>
        <v>200</v>
      </c>
      <c r="I204" s="6">
        <f t="shared" ca="1" si="92"/>
        <v>200</v>
      </c>
      <c r="J204" s="6">
        <f t="shared" ca="1" si="92"/>
        <v>200</v>
      </c>
      <c r="K204" s="6">
        <f t="shared" ca="1" si="92"/>
        <v>200</v>
      </c>
    </row>
    <row r="205" spans="3:11" x14ac:dyDescent="0.25">
      <c r="C205" s="4" t="s">
        <v>213</v>
      </c>
      <c r="D205" s="7"/>
      <c r="E205" s="7"/>
      <c r="F205" s="7"/>
      <c r="G205" s="7">
        <f>-LBO!$D$15</f>
        <v>-200</v>
      </c>
      <c r="H205" s="7">
        <f>-LBO!$D$15</f>
        <v>-200</v>
      </c>
      <c r="I205" s="7">
        <f>-LBO!$D$15</f>
        <v>-200</v>
      </c>
      <c r="J205" s="7">
        <f>-LBO!$D$15</f>
        <v>-200</v>
      </c>
      <c r="K205" s="7">
        <f>-LBO!$D$15</f>
        <v>-200</v>
      </c>
    </row>
    <row r="206" spans="3:11" x14ac:dyDescent="0.25">
      <c r="C206" t="s">
        <v>121</v>
      </c>
      <c r="D206" s="6"/>
      <c r="E206" s="6"/>
      <c r="F206" s="6"/>
      <c r="G206" s="6">
        <f>SUM(G204:G205)</f>
        <v>0</v>
      </c>
      <c r="H206" s="6">
        <f t="shared" ref="H206:K206" ca="1" si="93">SUM(H204:H205)</f>
        <v>0</v>
      </c>
      <c r="I206" s="6">
        <f t="shared" ca="1" si="93"/>
        <v>0</v>
      </c>
      <c r="J206" s="6">
        <f t="shared" ca="1" si="93"/>
        <v>0</v>
      </c>
      <c r="K206" s="6">
        <f t="shared" ca="1" si="93"/>
        <v>0</v>
      </c>
    </row>
    <row r="207" spans="3:11" x14ac:dyDescent="0.25">
      <c r="C207" s="4" t="s">
        <v>122</v>
      </c>
      <c r="D207" s="7"/>
      <c r="E207" s="7"/>
      <c r="F207" s="7"/>
      <c r="G207" s="7">
        <f ca="1">G104</f>
        <v>397.46941221766542</v>
      </c>
      <c r="H207" s="7">
        <f t="shared" ref="H207:K207" ca="1" si="94">H104</f>
        <v>313.85312257321425</v>
      </c>
      <c r="I207" s="7">
        <f t="shared" ca="1" si="94"/>
        <v>532.39958253505506</v>
      </c>
      <c r="J207" s="7">
        <f t="shared" ca="1" si="94"/>
        <v>942.45488099152431</v>
      </c>
      <c r="K207" s="7">
        <f t="shared" ca="1" si="94"/>
        <v>1126.1997331998623</v>
      </c>
    </row>
    <row r="208" spans="3:11" x14ac:dyDescent="0.25">
      <c r="C208" t="s">
        <v>123</v>
      </c>
      <c r="D208" s="6"/>
      <c r="E208" s="6"/>
      <c r="F208" s="6"/>
      <c r="G208" s="6">
        <f ca="1">SUM(G206:G207)</f>
        <v>397.46941221766542</v>
      </c>
      <c r="H208" s="6">
        <f t="shared" ref="H208:K208" ca="1" si="95">SUM(H206:H207)</f>
        <v>313.85312257321425</v>
      </c>
      <c r="I208" s="6">
        <f t="shared" ca="1" si="95"/>
        <v>532.39958253505506</v>
      </c>
      <c r="J208" s="6">
        <f t="shared" ca="1" si="95"/>
        <v>942.45488099152431</v>
      </c>
      <c r="K208" s="6">
        <f t="shared" ca="1" si="95"/>
        <v>1126.1997331998623</v>
      </c>
    </row>
    <row r="209" spans="3:11" x14ac:dyDescent="0.25">
      <c r="D209" s="6"/>
      <c r="E209" s="6"/>
      <c r="F209" s="6"/>
      <c r="G209" s="6"/>
      <c r="H209" s="6"/>
      <c r="I209" s="6"/>
      <c r="J209" s="6"/>
      <c r="K209" s="6"/>
    </row>
    <row r="210" spans="3:11" x14ac:dyDescent="0.25">
      <c r="C210" t="s">
        <v>125</v>
      </c>
      <c r="D210" s="6"/>
      <c r="E210" s="6"/>
      <c r="F210" s="6"/>
      <c r="G210" s="6">
        <f>LBO!H9</f>
        <v>0</v>
      </c>
      <c r="H210" s="6">
        <f ca="1">G212</f>
        <v>0</v>
      </c>
      <c r="I210" s="6">
        <f t="shared" ref="I210:K210" ca="1" si="96">H212</f>
        <v>0</v>
      </c>
      <c r="J210" s="6">
        <f t="shared" ca="1" si="96"/>
        <v>0</v>
      </c>
      <c r="K210" s="6">
        <f t="shared" ca="1" si="96"/>
        <v>0</v>
      </c>
    </row>
    <row r="211" spans="3:11" x14ac:dyDescent="0.25">
      <c r="C211" s="4" t="s">
        <v>117</v>
      </c>
      <c r="D211" s="7"/>
      <c r="E211" s="7"/>
      <c r="F211" s="7"/>
      <c r="G211" s="7">
        <f ca="1">-MIN(G208,G210)</f>
        <v>0</v>
      </c>
      <c r="H211" s="7">
        <f ca="1">-MIN(H208,H210)</f>
        <v>0</v>
      </c>
      <c r="I211" s="7">
        <f t="shared" ref="I211:K211" ca="1" si="97">-MIN(I208,I210)</f>
        <v>0</v>
      </c>
      <c r="J211" s="7">
        <f t="shared" ca="1" si="97"/>
        <v>0</v>
      </c>
      <c r="K211" s="7">
        <f t="shared" ca="1" si="97"/>
        <v>0</v>
      </c>
    </row>
    <row r="212" spans="3:11" x14ac:dyDescent="0.25">
      <c r="C212" s="283" t="s">
        <v>126</v>
      </c>
      <c r="D212" s="289"/>
      <c r="E212" s="289"/>
      <c r="F212" s="289"/>
      <c r="G212" s="282">
        <f ca="1">SUM(G210:G211)</f>
        <v>0</v>
      </c>
      <c r="H212" s="282">
        <f ca="1">SUM(H210:H211)</f>
        <v>0</v>
      </c>
      <c r="I212" s="282">
        <f t="shared" ref="I212:K212" ca="1" si="98">SUM(I210:I211)</f>
        <v>0</v>
      </c>
      <c r="J212" s="282">
        <f t="shared" ca="1" si="98"/>
        <v>0</v>
      </c>
      <c r="K212" s="282">
        <f t="shared" ca="1" si="98"/>
        <v>0</v>
      </c>
    </row>
    <row r="213" spans="3:11" x14ac:dyDescent="0.25">
      <c r="D213" s="6"/>
      <c r="E213" s="6"/>
      <c r="F213" s="6"/>
      <c r="G213" s="6"/>
      <c r="H213" s="6"/>
      <c r="I213" s="6"/>
      <c r="J213" s="6"/>
      <c r="K213" s="6"/>
    </row>
    <row r="214" spans="3:11" x14ac:dyDescent="0.25">
      <c r="C214" s="3" t="s">
        <v>214</v>
      </c>
      <c r="D214" s="6"/>
      <c r="E214" s="6"/>
      <c r="F214" s="6"/>
      <c r="G214" s="6"/>
      <c r="H214" s="6"/>
      <c r="I214" s="6"/>
      <c r="J214" s="6"/>
      <c r="K214" s="6"/>
    </row>
    <row r="215" spans="3:11" x14ac:dyDescent="0.25">
      <c r="C215" t="s">
        <v>215</v>
      </c>
      <c r="D215" s="6"/>
      <c r="E215" s="6"/>
      <c r="F215" s="6"/>
      <c r="G215" s="6">
        <f>LBO!H10</f>
        <v>18025</v>
      </c>
      <c r="H215" s="6">
        <f ca="1">G218</f>
        <v>16726.280587782334</v>
      </c>
      <c r="I215" s="6">
        <f t="shared" ref="I215:K215" ca="1" si="99">H218</f>
        <v>15511.177465209119</v>
      </c>
      <c r="J215" s="6">
        <f t="shared" ca="1" si="99"/>
        <v>14077.527882674063</v>
      </c>
      <c r="K215" s="6">
        <f t="shared" ca="1" si="99"/>
        <v>12233.823001682538</v>
      </c>
    </row>
    <row r="216" spans="3:11" x14ac:dyDescent="0.25">
      <c r="C216" t="s">
        <v>127</v>
      </c>
      <c r="D216" s="6"/>
      <c r="E216" s="6"/>
      <c r="F216" s="6"/>
      <c r="G216" s="6">
        <f>-MIN($G$215*G219,G215)</f>
        <v>-901.25</v>
      </c>
      <c r="H216" s="6">
        <f t="shared" ref="H216:K216" ca="1" si="100">-MIN($G$215*H219,H215)</f>
        <v>-901.25</v>
      </c>
      <c r="I216" s="6">
        <f t="shared" ca="1" si="100"/>
        <v>-901.25</v>
      </c>
      <c r="J216" s="6">
        <f t="shared" ca="1" si="100"/>
        <v>-901.25</v>
      </c>
      <c r="K216" s="6">
        <f t="shared" ca="1" si="100"/>
        <v>-901.25</v>
      </c>
    </row>
    <row r="217" spans="3:11" x14ac:dyDescent="0.25">
      <c r="C217" s="4" t="s">
        <v>128</v>
      </c>
      <c r="D217" s="7"/>
      <c r="E217" s="7"/>
      <c r="F217" s="7"/>
      <c r="G217" s="7">
        <f ca="1">-MIN(G215-G216,G220)</f>
        <v>-397.46941221766542</v>
      </c>
      <c r="H217" s="7">
        <f t="shared" ref="H217:K217" ca="1" si="101">-MIN(H215-H216,H220)</f>
        <v>-313.85312257321425</v>
      </c>
      <c r="I217" s="7">
        <f t="shared" ca="1" si="101"/>
        <v>-532.39958253505506</v>
      </c>
      <c r="J217" s="7">
        <f t="shared" ca="1" si="101"/>
        <v>-942.45488099152431</v>
      </c>
      <c r="K217" s="7">
        <f t="shared" ca="1" si="101"/>
        <v>-1126.1997331998623</v>
      </c>
    </row>
    <row r="218" spans="3:11" x14ac:dyDescent="0.25">
      <c r="C218" s="283" t="s">
        <v>216</v>
      </c>
      <c r="D218" s="197"/>
      <c r="E218" s="197"/>
      <c r="F218" s="197"/>
      <c r="G218" s="282">
        <f ca="1">SUM(G215:G217)</f>
        <v>16726.280587782334</v>
      </c>
      <c r="H218" s="282">
        <f t="shared" ref="H218:K218" ca="1" si="102">SUM(H215:H217)</f>
        <v>15511.177465209119</v>
      </c>
      <c r="I218" s="282">
        <f t="shared" ca="1" si="102"/>
        <v>14077.527882674063</v>
      </c>
      <c r="J218" s="282">
        <f t="shared" ca="1" si="102"/>
        <v>12233.823001682538</v>
      </c>
      <c r="K218" s="282">
        <f t="shared" ca="1" si="102"/>
        <v>10206.373268482675</v>
      </c>
    </row>
    <row r="219" spans="3:11" x14ac:dyDescent="0.25">
      <c r="C219" t="s">
        <v>129</v>
      </c>
      <c r="E219" t="s">
        <v>217</v>
      </c>
      <c r="G219" s="67">
        <v>0.05</v>
      </c>
      <c r="H219" s="67">
        <v>0.05</v>
      </c>
      <c r="I219" s="67">
        <v>0.05</v>
      </c>
      <c r="J219" s="67">
        <v>0.05</v>
      </c>
      <c r="K219" s="67">
        <v>0.05</v>
      </c>
    </row>
    <row r="220" spans="3:11" x14ac:dyDescent="0.25">
      <c r="C220" t="s">
        <v>130</v>
      </c>
      <c r="F220" s="66">
        <v>1</v>
      </c>
      <c r="G220" s="6">
        <f ca="1">$F$220*(G208+G211)</f>
        <v>397.46941221766542</v>
      </c>
      <c r="H220" s="6">
        <f t="shared" ref="H220:K220" ca="1" si="103">$F$220*(H208+H211)</f>
        <v>313.85312257321425</v>
      </c>
      <c r="I220" s="6">
        <f t="shared" ca="1" si="103"/>
        <v>532.39958253505506</v>
      </c>
      <c r="J220" s="6">
        <f t="shared" ca="1" si="103"/>
        <v>942.45488099152431</v>
      </c>
      <c r="K220" s="6">
        <f t="shared" ca="1" si="103"/>
        <v>1126.1997331998623</v>
      </c>
    </row>
    <row r="222" spans="3:11" x14ac:dyDescent="0.25">
      <c r="C222" s="3" t="s">
        <v>131</v>
      </c>
    </row>
    <row r="223" spans="3:11" x14ac:dyDescent="0.25">
      <c r="C223" t="s">
        <v>132</v>
      </c>
      <c r="G223" s="6">
        <f>LBO!H11</f>
        <v>0</v>
      </c>
      <c r="H223" s="6">
        <f>G225</f>
        <v>0</v>
      </c>
      <c r="I223" s="6">
        <f t="shared" ref="I223:K223" si="104">H225</f>
        <v>0</v>
      </c>
      <c r="J223" s="6">
        <f t="shared" si="104"/>
        <v>0</v>
      </c>
      <c r="K223" s="6">
        <f t="shared" si="104"/>
        <v>0</v>
      </c>
    </row>
    <row r="224" spans="3:11" x14ac:dyDescent="0.25">
      <c r="C224" s="4" t="s">
        <v>133</v>
      </c>
      <c r="D224" s="4"/>
      <c r="E224" s="4"/>
      <c r="F224" s="4"/>
      <c r="G224" s="7">
        <f>-MIN($G$223*G226,G223)</f>
        <v>0</v>
      </c>
      <c r="H224" s="7">
        <f>-MIN($G$223*H226,H223)</f>
        <v>0</v>
      </c>
      <c r="I224" s="7">
        <f t="shared" ref="I224:K224" si="105">-MIN($G$223*I226,I223)</f>
        <v>0</v>
      </c>
      <c r="J224" s="7">
        <f t="shared" si="105"/>
        <v>0</v>
      </c>
      <c r="K224" s="7">
        <f t="shared" si="105"/>
        <v>0</v>
      </c>
    </row>
    <row r="225" spans="3:11" x14ac:dyDescent="0.25">
      <c r="C225" s="283" t="s">
        <v>134</v>
      </c>
      <c r="D225" s="197"/>
      <c r="E225" s="197"/>
      <c r="F225" s="197"/>
      <c r="G225" s="282">
        <f>SUM(G223:G224)</f>
        <v>0</v>
      </c>
      <c r="H225" s="282">
        <f>SUM(H223:H224)</f>
        <v>0</v>
      </c>
      <c r="I225" s="282">
        <f t="shared" ref="I225:K225" si="106">SUM(I223:I224)</f>
        <v>0</v>
      </c>
      <c r="J225" s="282">
        <f t="shared" si="106"/>
        <v>0</v>
      </c>
      <c r="K225" s="282">
        <f t="shared" si="106"/>
        <v>0</v>
      </c>
    </row>
    <row r="226" spans="3:11" x14ac:dyDescent="0.25">
      <c r="C226" t="s">
        <v>135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</row>
    <row r="228" spans="3:11" x14ac:dyDescent="0.25">
      <c r="C228" s="3" t="s">
        <v>177</v>
      </c>
    </row>
    <row r="229" spans="3:11" x14ac:dyDescent="0.25">
      <c r="C229" t="s">
        <v>219</v>
      </c>
      <c r="G229" s="6">
        <f>LBO!H12</f>
        <v>0</v>
      </c>
      <c r="H229" s="6">
        <f>G232</f>
        <v>0</v>
      </c>
      <c r="I229" s="6">
        <f t="shared" ref="I229:K229" si="107">H232</f>
        <v>0</v>
      </c>
      <c r="J229" s="6">
        <f t="shared" si="107"/>
        <v>0</v>
      </c>
      <c r="K229" s="6">
        <f t="shared" si="107"/>
        <v>0</v>
      </c>
    </row>
    <row r="230" spans="3:11" x14ac:dyDescent="0.25">
      <c r="C230" t="s">
        <v>133</v>
      </c>
      <c r="G230" s="6">
        <f>-MIN($G$229*G233,G229)</f>
        <v>0</v>
      </c>
      <c r="H230" s="6">
        <f>-MIN($G$229*H233,H229)</f>
        <v>0</v>
      </c>
      <c r="I230" s="6">
        <f t="shared" ref="I230:K230" si="108">-MIN($G$229*I233,I229)</f>
        <v>0</v>
      </c>
      <c r="J230" s="6">
        <f t="shared" si="108"/>
        <v>0</v>
      </c>
      <c r="K230" s="6">
        <f t="shared" si="108"/>
        <v>0</v>
      </c>
    </row>
    <row r="231" spans="3:11" x14ac:dyDescent="0.25">
      <c r="C231" s="4" t="s">
        <v>218</v>
      </c>
      <c r="D231" s="4"/>
      <c r="E231" s="4"/>
      <c r="F231" s="4"/>
      <c r="G231" s="7">
        <f>G229*$F$257</f>
        <v>0</v>
      </c>
      <c r="H231" s="7">
        <f>H229*$F$257</f>
        <v>0</v>
      </c>
      <c r="I231" s="7">
        <f>I229*$F$257</f>
        <v>0</v>
      </c>
      <c r="J231" s="7">
        <f>J229*$F$257</f>
        <v>0</v>
      </c>
      <c r="K231" s="7">
        <f>K229*$F$257</f>
        <v>0</v>
      </c>
    </row>
    <row r="232" spans="3:11" x14ac:dyDescent="0.25">
      <c r="C232" s="283" t="s">
        <v>220</v>
      </c>
      <c r="D232" s="197"/>
      <c r="E232" s="197"/>
      <c r="F232" s="197"/>
      <c r="G232" s="282">
        <f>SUM(G229:G231)</f>
        <v>0</v>
      </c>
      <c r="H232" s="282">
        <f t="shared" ref="H232:K232" si="109">SUM(H229:H231)</f>
        <v>0</v>
      </c>
      <c r="I232" s="282">
        <f t="shared" si="109"/>
        <v>0</v>
      </c>
      <c r="J232" s="282">
        <f t="shared" si="109"/>
        <v>0</v>
      </c>
      <c r="K232" s="282">
        <f t="shared" si="109"/>
        <v>0</v>
      </c>
    </row>
    <row r="233" spans="3:11" x14ac:dyDescent="0.25">
      <c r="C233" t="s">
        <v>135</v>
      </c>
      <c r="G233" s="67">
        <v>0</v>
      </c>
      <c r="H233" s="67">
        <v>0</v>
      </c>
      <c r="I233" s="67">
        <v>0</v>
      </c>
      <c r="J233" s="67">
        <v>0</v>
      </c>
      <c r="K233" s="67">
        <v>0</v>
      </c>
    </row>
    <row r="235" spans="3:11" x14ac:dyDescent="0.25">
      <c r="C235" s="3" t="s">
        <v>136</v>
      </c>
    </row>
    <row r="236" spans="3:11" x14ac:dyDescent="0.25">
      <c r="C236" t="s">
        <v>139</v>
      </c>
      <c r="D236" s="21" t="s">
        <v>221</v>
      </c>
      <c r="E236" s="21" t="s">
        <v>222</v>
      </c>
      <c r="G236" s="6">
        <f>LBO!H13</f>
        <v>0</v>
      </c>
      <c r="H236" s="6">
        <f>G238</f>
        <v>0</v>
      </c>
      <c r="I236" s="6">
        <f t="shared" ref="I236:K236" si="110">H238</f>
        <v>0</v>
      </c>
      <c r="J236" s="6">
        <f t="shared" si="110"/>
        <v>0</v>
      </c>
      <c r="K236" s="6">
        <f t="shared" si="110"/>
        <v>0</v>
      </c>
    </row>
    <row r="237" spans="3:11" x14ac:dyDescent="0.25">
      <c r="C237" s="4" t="s">
        <v>137</v>
      </c>
      <c r="D237" s="69">
        <v>0.05</v>
      </c>
      <c r="E237" s="69">
        <v>0.1</v>
      </c>
      <c r="F237" s="4"/>
      <c r="G237" s="7">
        <f>$D$237*G236</f>
        <v>0</v>
      </c>
      <c r="H237" s="7">
        <f>$D$237*H236</f>
        <v>0</v>
      </c>
      <c r="I237" s="7">
        <f t="shared" ref="I237:K237" si="111">$D$237*I236</f>
        <v>0</v>
      </c>
      <c r="J237" s="7">
        <f t="shared" si="111"/>
        <v>0</v>
      </c>
      <c r="K237" s="7">
        <f t="shared" si="111"/>
        <v>0</v>
      </c>
    </row>
    <row r="238" spans="3:11" x14ac:dyDescent="0.25">
      <c r="C238" s="283" t="s">
        <v>140</v>
      </c>
      <c r="D238" s="197"/>
      <c r="E238" s="197"/>
      <c r="F238" s="197"/>
      <c r="G238" s="282">
        <f>SUM(G236:G237)</f>
        <v>0</v>
      </c>
      <c r="H238" s="282">
        <f>SUM(H236:H237)</f>
        <v>0</v>
      </c>
      <c r="I238" s="282">
        <f t="shared" ref="I238:K238" si="112">SUM(I236:I237)</f>
        <v>0</v>
      </c>
      <c r="J238" s="282">
        <f t="shared" si="112"/>
        <v>0</v>
      </c>
      <c r="K238" s="282">
        <f t="shared" si="112"/>
        <v>0</v>
      </c>
    </row>
    <row r="239" spans="3:11" x14ac:dyDescent="0.25">
      <c r="C239" t="s">
        <v>138</v>
      </c>
      <c r="G239" s="6">
        <f>G238*$E$237</f>
        <v>0</v>
      </c>
      <c r="H239" s="6">
        <f t="shared" ref="H239:K239" si="113">H238*$E$237</f>
        <v>0</v>
      </c>
      <c r="I239" s="6">
        <f t="shared" si="113"/>
        <v>0</v>
      </c>
      <c r="J239" s="6">
        <f t="shared" si="113"/>
        <v>0</v>
      </c>
      <c r="K239" s="6">
        <f t="shared" si="113"/>
        <v>0</v>
      </c>
    </row>
    <row r="240" spans="3:11" x14ac:dyDescent="0.25">
      <c r="G240" s="6"/>
      <c r="H240" s="6"/>
      <c r="I240" s="6"/>
      <c r="J240" s="6"/>
      <c r="K240" s="6"/>
    </row>
    <row r="241" spans="2:11" x14ac:dyDescent="0.25">
      <c r="C241" s="3" t="s">
        <v>211</v>
      </c>
      <c r="G241" s="6"/>
      <c r="H241" s="6"/>
      <c r="I241" s="6"/>
      <c r="J241" s="6"/>
      <c r="K241" s="6"/>
    </row>
    <row r="242" spans="2:11" x14ac:dyDescent="0.25">
      <c r="C242" t="s">
        <v>223</v>
      </c>
      <c r="G242" s="6">
        <f>LBO!J26</f>
        <v>270.375</v>
      </c>
      <c r="H242" s="6">
        <f>G244</f>
        <v>231.75</v>
      </c>
      <c r="I242" s="6">
        <f t="shared" ref="I242:K242" si="114">H244</f>
        <v>193.125</v>
      </c>
      <c r="J242" s="6">
        <f t="shared" si="114"/>
        <v>154.5</v>
      </c>
      <c r="K242" s="6">
        <f t="shared" si="114"/>
        <v>115.875</v>
      </c>
    </row>
    <row r="243" spans="2:11" x14ac:dyDescent="0.25">
      <c r="C243" s="4" t="s">
        <v>162</v>
      </c>
      <c r="D243" s="4"/>
      <c r="E243" s="4"/>
      <c r="F243" s="4"/>
      <c r="G243" s="7">
        <f>-LBO!$L$26</f>
        <v>-38.625</v>
      </c>
      <c r="H243" s="7">
        <f>-LBO!$L$26</f>
        <v>-38.625</v>
      </c>
      <c r="I243" s="7">
        <f>-LBO!$L$26</f>
        <v>-38.625</v>
      </c>
      <c r="J243" s="7">
        <f>-LBO!$L$26</f>
        <v>-38.625</v>
      </c>
      <c r="K243" s="7">
        <f>-LBO!$L$26</f>
        <v>-38.625</v>
      </c>
    </row>
    <row r="244" spans="2:11" x14ac:dyDescent="0.25">
      <c r="C244" s="283" t="s">
        <v>224</v>
      </c>
      <c r="D244" s="197"/>
      <c r="E244" s="197"/>
      <c r="F244" s="197"/>
      <c r="G244" s="282">
        <f>SUM(G242:G243)</f>
        <v>231.75</v>
      </c>
      <c r="H244" s="282">
        <f>SUM(H242:H243)</f>
        <v>193.125</v>
      </c>
      <c r="I244" s="282">
        <f t="shared" ref="I244:K244" si="115">SUM(I242:I243)</f>
        <v>154.5</v>
      </c>
      <c r="J244" s="282">
        <f t="shared" si="115"/>
        <v>115.875</v>
      </c>
      <c r="K244" s="282">
        <f t="shared" si="115"/>
        <v>77.25</v>
      </c>
    </row>
    <row r="245" spans="2:11" x14ac:dyDescent="0.25">
      <c r="C245" s="3"/>
    </row>
    <row r="247" spans="2:11" x14ac:dyDescent="0.25">
      <c r="B247" t="s">
        <v>72</v>
      </c>
      <c r="C247" s="233" t="s">
        <v>111</v>
      </c>
      <c r="D247" s="234"/>
      <c r="E247" s="234"/>
      <c r="F247" s="234"/>
      <c r="G247" s="234"/>
      <c r="H247" s="234"/>
      <c r="I247" s="234"/>
      <c r="J247" s="234"/>
      <c r="K247" s="235"/>
    </row>
    <row r="248" spans="2:11" x14ac:dyDescent="0.25">
      <c r="C248" s="283" t="s">
        <v>5</v>
      </c>
      <c r="D248" s="275">
        <v>2023</v>
      </c>
      <c r="E248" s="275">
        <v>2024</v>
      </c>
      <c r="F248" s="275">
        <v>2025</v>
      </c>
      <c r="G248" s="276">
        <v>2026</v>
      </c>
      <c r="H248" s="276">
        <v>2027</v>
      </c>
      <c r="I248" s="276">
        <v>2028</v>
      </c>
      <c r="J248" s="276">
        <v>2029</v>
      </c>
      <c r="K248" s="276">
        <v>2030</v>
      </c>
    </row>
    <row r="249" spans="2:11" x14ac:dyDescent="0.25">
      <c r="C249" s="224" t="s">
        <v>6</v>
      </c>
      <c r="D249" s="225">
        <v>45016</v>
      </c>
      <c r="E249" s="225">
        <f>EOMONTH(D249,12)</f>
        <v>45382</v>
      </c>
      <c r="F249" s="225">
        <f t="shared" ref="F249:K249" si="116">EOMONTH(E249,12)</f>
        <v>45747</v>
      </c>
      <c r="G249" s="225">
        <f t="shared" si="116"/>
        <v>46112</v>
      </c>
      <c r="H249" s="225">
        <f t="shared" si="116"/>
        <v>46477</v>
      </c>
      <c r="I249" s="225">
        <f t="shared" si="116"/>
        <v>46843</v>
      </c>
      <c r="J249" s="225">
        <f t="shared" si="116"/>
        <v>47208</v>
      </c>
      <c r="K249" s="225">
        <f t="shared" si="116"/>
        <v>47573</v>
      </c>
    </row>
    <row r="251" spans="2:11" x14ac:dyDescent="0.25">
      <c r="C251" t="s">
        <v>312</v>
      </c>
      <c r="G251" s="67">
        <v>3.6799999999999999E-2</v>
      </c>
      <c r="H251" s="67">
        <v>3.5700000000000003E-2</v>
      </c>
      <c r="I251" s="67">
        <v>3.39E-2</v>
      </c>
      <c r="J251" s="67">
        <v>3.49E-2</v>
      </c>
      <c r="K251" s="67">
        <v>3.6499999999999998E-2</v>
      </c>
    </row>
    <row r="252" spans="2:11" x14ac:dyDescent="0.25">
      <c r="D252" s="176" t="s">
        <v>313</v>
      </c>
      <c r="E252" s="68" t="s">
        <v>314</v>
      </c>
      <c r="F252" s="68" t="s">
        <v>315</v>
      </c>
    </row>
    <row r="253" spans="2:11" x14ac:dyDescent="0.25">
      <c r="C253" t="s">
        <v>66</v>
      </c>
      <c r="D253" s="180">
        <v>3.5000000000000003E-2</v>
      </c>
      <c r="E253" s="179">
        <v>0</v>
      </c>
      <c r="F253" s="67"/>
      <c r="G253" s="6">
        <f ca="1">IF($D$5=1,($D$253+MAX($E$253,G251))*AVERAGE(G210,G212),0)</f>
        <v>0</v>
      </c>
      <c r="H253" s="6">
        <f t="shared" ref="H253:K253" ca="1" si="117">IF($D$5=1,($D$253+MAX($E$253,H251))*AVERAGE(H210,H212),0)</f>
        <v>0</v>
      </c>
      <c r="I253" s="6">
        <f t="shared" ca="1" si="117"/>
        <v>0</v>
      </c>
      <c r="J253" s="6">
        <f t="shared" ca="1" si="117"/>
        <v>0</v>
      </c>
      <c r="K253" s="6">
        <f t="shared" ca="1" si="117"/>
        <v>0</v>
      </c>
    </row>
    <row r="254" spans="2:11" x14ac:dyDescent="0.25">
      <c r="C254" t="s">
        <v>214</v>
      </c>
      <c r="D254" s="180">
        <v>3.5000000000000003E-2</v>
      </c>
      <c r="E254" s="179">
        <v>0</v>
      </c>
      <c r="F254" s="67"/>
      <c r="G254" s="6">
        <f ca="1">IF($D$5=1,($D$254+MAX($E$254,G251))*AVERAGE(G215,G218),0)</f>
        <v>1247.5709731013858</v>
      </c>
      <c r="H254" s="6">
        <f t="shared" ref="H254:K254" ca="1" si="118">IF($D$5=1,($D$254+MAX($E$254,H251))*AVERAGE(H215,H218),0)</f>
        <v>1139.594142173248</v>
      </c>
      <c r="I254" s="6">
        <f t="shared" ca="1" si="118"/>
        <v>1019.3308992345756</v>
      </c>
      <c r="J254" s="6">
        <f t="shared" ca="1" si="118"/>
        <v>919.58171340826323</v>
      </c>
      <c r="K254" s="6">
        <f t="shared" ca="1" si="118"/>
        <v>802.23701665840656</v>
      </c>
    </row>
    <row r="255" spans="2:11" x14ac:dyDescent="0.25">
      <c r="C255" t="s">
        <v>131</v>
      </c>
      <c r="D255" s="177"/>
      <c r="E255" s="178"/>
      <c r="F255" s="179">
        <v>7.4999999999999997E-2</v>
      </c>
      <c r="G255" s="6">
        <f>$F$255*AVERAGE(G223,G225)</f>
        <v>0</v>
      </c>
      <c r="H255" s="6">
        <f t="shared" ref="H255:K255" si="119">$F$255*AVERAGE(H223,H225)</f>
        <v>0</v>
      </c>
      <c r="I255" s="6">
        <f t="shared" si="119"/>
        <v>0</v>
      </c>
      <c r="J255" s="6">
        <f t="shared" si="119"/>
        <v>0</v>
      </c>
      <c r="K255" s="6">
        <f t="shared" si="119"/>
        <v>0</v>
      </c>
    </row>
    <row r="256" spans="2:11" x14ac:dyDescent="0.25">
      <c r="C256" t="s">
        <v>141</v>
      </c>
      <c r="F256" s="179">
        <v>0.1</v>
      </c>
      <c r="G256" s="6">
        <f>$F$256*(G229-G230)</f>
        <v>0</v>
      </c>
      <c r="H256" s="6">
        <f t="shared" ref="H256:K256" si="120">$F$256*(H229-H230)</f>
        <v>0</v>
      </c>
      <c r="I256" s="6">
        <f t="shared" si="120"/>
        <v>0</v>
      </c>
      <c r="J256" s="6">
        <f t="shared" si="120"/>
        <v>0</v>
      </c>
      <c r="K256" s="6">
        <f t="shared" si="120"/>
        <v>0</v>
      </c>
    </row>
    <row r="257" spans="3:11" x14ac:dyDescent="0.25">
      <c r="C257" t="s">
        <v>142</v>
      </c>
      <c r="F257" s="179">
        <v>0.05</v>
      </c>
      <c r="G257" s="6">
        <f>G231</f>
        <v>0</v>
      </c>
      <c r="H257" s="6">
        <f t="shared" ref="H257:K257" si="121">H231</f>
        <v>0</v>
      </c>
      <c r="I257" s="6">
        <f t="shared" si="121"/>
        <v>0</v>
      </c>
      <c r="J257" s="6">
        <f t="shared" si="121"/>
        <v>0</v>
      </c>
      <c r="K257" s="6">
        <f t="shared" si="121"/>
        <v>0</v>
      </c>
    </row>
    <row r="265" spans="3:11" x14ac:dyDescent="0.25">
      <c r="C265" s="3"/>
      <c r="D265" s="8"/>
      <c r="E265" s="8"/>
      <c r="F265" s="8"/>
      <c r="G265" s="8"/>
      <c r="H265" s="8"/>
      <c r="I265" s="8"/>
      <c r="J265" s="8"/>
      <c r="K265" s="8"/>
    </row>
  </sheetData>
  <dataValidations count="3">
    <dataValidation type="list" allowBlank="1" showInputMessage="1" showErrorMessage="1" sqref="D122 D132 D142 D152" xr:uid="{FEBA4D7C-34F3-4869-91AA-87D85C9402EE}">
      <formula1>"1,2"</formula1>
    </dataValidation>
    <dataValidation type="list" allowBlank="1" showInputMessage="1" showErrorMessage="1" sqref="D176" xr:uid="{809947C2-B5C7-48DB-91FE-31CB55C14E1E}">
      <formula1>"0.5,1"</formula1>
    </dataValidation>
    <dataValidation type="list" allowBlank="1" showInputMessage="1" showErrorMessage="1" sqref="D5" xr:uid="{637E7EB2-AEA6-4DCF-8670-3F89CF494373}">
      <formula1>"0,1"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2F67-D3C2-41A4-92B9-BB27F89FF980}">
  <dimension ref="B2:L87"/>
  <sheetViews>
    <sheetView showGridLines="0" workbookViewId="0">
      <selection activeCell="C97" sqref="C97"/>
    </sheetView>
  </sheetViews>
  <sheetFormatPr defaultRowHeight="15" x14ac:dyDescent="0.25"/>
  <cols>
    <col min="1" max="2" width="2.140625" customWidth="1"/>
    <col min="3" max="3" width="51" customWidth="1"/>
    <col min="4" max="9" width="19.42578125" customWidth="1"/>
  </cols>
  <sheetData>
    <row r="2" spans="2:9" ht="19.5" x14ac:dyDescent="0.3">
      <c r="C2" s="211" t="s">
        <v>385</v>
      </c>
      <c r="D2" s="212"/>
      <c r="E2" s="212"/>
      <c r="F2" s="212"/>
      <c r="G2" s="212"/>
      <c r="H2" s="212"/>
      <c r="I2" s="213"/>
    </row>
    <row r="3" spans="2:9" x14ac:dyDescent="0.25">
      <c r="C3" s="214" t="s">
        <v>1</v>
      </c>
      <c r="D3" s="215"/>
      <c r="E3" s="215"/>
      <c r="F3" s="215"/>
      <c r="G3" s="215"/>
      <c r="H3" s="215"/>
      <c r="I3" s="216"/>
    </row>
    <row r="4" spans="2:9" x14ac:dyDescent="0.25">
      <c r="C4" s="20"/>
      <c r="D4" s="1"/>
      <c r="E4" s="1"/>
      <c r="F4" s="1"/>
      <c r="G4" s="1"/>
      <c r="H4" s="1"/>
      <c r="I4" s="1"/>
    </row>
    <row r="5" spans="2:9" x14ac:dyDescent="0.25">
      <c r="C5" s="20" t="s">
        <v>240</v>
      </c>
      <c r="D5" s="284" t="s">
        <v>241</v>
      </c>
      <c r="E5" s="1"/>
      <c r="F5" s="1"/>
      <c r="G5" s="1"/>
      <c r="H5" s="1"/>
      <c r="I5" s="1"/>
    </row>
    <row r="6" spans="2:9" x14ac:dyDescent="0.25">
      <c r="C6" s="20" t="s">
        <v>233</v>
      </c>
      <c r="D6" s="284" t="s">
        <v>242</v>
      </c>
      <c r="E6" s="1"/>
      <c r="F6" s="1"/>
      <c r="G6" s="1"/>
      <c r="H6" s="1"/>
      <c r="I6" s="1"/>
    </row>
    <row r="8" spans="2:9" x14ac:dyDescent="0.25">
      <c r="B8" t="s">
        <v>72</v>
      </c>
      <c r="C8" s="233" t="s">
        <v>231</v>
      </c>
      <c r="D8" s="234"/>
      <c r="E8" s="234"/>
      <c r="F8" s="234"/>
      <c r="G8" s="234"/>
      <c r="H8" s="234"/>
      <c r="I8" s="235"/>
    </row>
    <row r="10" spans="2:9" x14ac:dyDescent="0.25">
      <c r="C10" s="233" t="s">
        <v>249</v>
      </c>
      <c r="D10" s="235"/>
      <c r="F10" s="233" t="s">
        <v>231</v>
      </c>
      <c r="G10" s="234"/>
      <c r="H10" s="235"/>
    </row>
    <row r="11" spans="2:9" x14ac:dyDescent="0.25">
      <c r="C11" s="72" t="s">
        <v>259</v>
      </c>
      <c r="D11" s="73">
        <f>E41</f>
        <v>586</v>
      </c>
      <c r="F11" s="72" t="s">
        <v>250</v>
      </c>
      <c r="G11" s="44"/>
      <c r="H11" s="73">
        <f>E46</f>
        <v>12368</v>
      </c>
    </row>
    <row r="12" spans="2:9" x14ac:dyDescent="0.25">
      <c r="C12" s="72" t="s">
        <v>243</v>
      </c>
      <c r="D12" s="82">
        <v>0.2</v>
      </c>
      <c r="F12" s="72" t="s">
        <v>234</v>
      </c>
      <c r="G12" s="6"/>
      <c r="H12" s="73">
        <f>D13</f>
        <v>117.2</v>
      </c>
    </row>
    <row r="13" spans="2:9" x14ac:dyDescent="0.25">
      <c r="C13" s="280" t="s">
        <v>244</v>
      </c>
      <c r="D13" s="281">
        <f>IF($D$6="LBO",D11*D12,0)</f>
        <v>117.2</v>
      </c>
      <c r="F13" s="74" t="s">
        <v>235</v>
      </c>
      <c r="G13" s="7"/>
      <c r="H13" s="76">
        <f>D20</f>
        <v>87.899999999999991</v>
      </c>
    </row>
    <row r="14" spans="2:9" x14ac:dyDescent="0.25">
      <c r="C14" s="72" t="s">
        <v>245</v>
      </c>
      <c r="D14" s="81">
        <f>Financials!D172</f>
        <v>5</v>
      </c>
      <c r="F14" s="280" t="s">
        <v>251</v>
      </c>
      <c r="G14" s="282"/>
      <c r="H14" s="281">
        <f>SUM(H11:H13)</f>
        <v>12573.1</v>
      </c>
    </row>
    <row r="15" spans="2:9" x14ac:dyDescent="0.25">
      <c r="C15" s="72" t="s">
        <v>246</v>
      </c>
      <c r="D15" s="73">
        <f>D13/D14</f>
        <v>23.44</v>
      </c>
      <c r="F15" s="72"/>
      <c r="H15" s="73"/>
    </row>
    <row r="16" spans="2:9" x14ac:dyDescent="0.25">
      <c r="C16" s="72" t="s">
        <v>247</v>
      </c>
      <c r="D16" s="73">
        <f>IF($D$5="Stock Sale",D13*Financials!G48,0)</f>
        <v>34.988040193905455</v>
      </c>
      <c r="F16" s="72" t="s">
        <v>252</v>
      </c>
      <c r="G16" s="44"/>
      <c r="H16" s="73">
        <f>E53</f>
        <v>5982</v>
      </c>
    </row>
    <row r="17" spans="3:9" x14ac:dyDescent="0.25">
      <c r="C17" s="72"/>
      <c r="D17" s="75"/>
      <c r="F17" s="74" t="s">
        <v>236</v>
      </c>
      <c r="G17" s="7"/>
      <c r="H17" s="76">
        <f>D16+D23</f>
        <v>61.229070339334541</v>
      </c>
    </row>
    <row r="18" spans="3:9" x14ac:dyDescent="0.25">
      <c r="C18" s="72" t="s">
        <v>260</v>
      </c>
      <c r="D18" s="73">
        <f>E43</f>
        <v>293</v>
      </c>
      <c r="E18" s="77"/>
      <c r="F18" s="283" t="s">
        <v>253</v>
      </c>
      <c r="G18" s="282"/>
      <c r="H18" s="282">
        <f>SUM(H16:H17)</f>
        <v>6043.2290703393346</v>
      </c>
      <c r="I18" s="72"/>
    </row>
    <row r="19" spans="3:9" x14ac:dyDescent="0.25">
      <c r="C19" s="72" t="s">
        <v>243</v>
      </c>
      <c r="D19" s="82">
        <v>0.3</v>
      </c>
      <c r="F19" s="72"/>
      <c r="H19" s="73"/>
    </row>
    <row r="20" spans="3:9" x14ac:dyDescent="0.25">
      <c r="C20" s="280" t="s">
        <v>244</v>
      </c>
      <c r="D20" s="281">
        <f>IF($D$6="LBO",D18*D19,0)</f>
        <v>87.899999999999991</v>
      </c>
      <c r="F20" s="72" t="s">
        <v>258</v>
      </c>
      <c r="G20" s="6"/>
      <c r="H20" s="73">
        <f>H14-H18</f>
        <v>6529.8709296606658</v>
      </c>
    </row>
    <row r="21" spans="3:9" x14ac:dyDescent="0.25">
      <c r="C21" s="72" t="s">
        <v>245</v>
      </c>
      <c r="D21" s="86">
        <v>6</v>
      </c>
      <c r="F21" s="74" t="s">
        <v>237</v>
      </c>
      <c r="G21" s="7"/>
      <c r="H21" s="341">
        <f>LBO!D31</f>
        <v>54198.419305807984</v>
      </c>
    </row>
    <row r="22" spans="3:9" x14ac:dyDescent="0.25">
      <c r="C22" s="72" t="s">
        <v>248</v>
      </c>
      <c r="D22" s="73">
        <f>D20/D21</f>
        <v>14.649999999999999</v>
      </c>
      <c r="F22" s="280" t="s">
        <v>238</v>
      </c>
      <c r="G22" s="282"/>
      <c r="H22" s="281">
        <f>H21-H20</f>
        <v>47668.548376147315</v>
      </c>
    </row>
    <row r="23" spans="3:9" x14ac:dyDescent="0.25">
      <c r="C23" s="74" t="s">
        <v>247</v>
      </c>
      <c r="D23" s="76">
        <f>IF($D$5="Stock Sale",D20*Financials!G48,0)</f>
        <v>26.241030145429086</v>
      </c>
      <c r="E23" s="77"/>
      <c r="F23" s="74"/>
      <c r="G23" s="4"/>
      <c r="H23" s="78"/>
      <c r="I23" s="72"/>
    </row>
    <row r="26" spans="3:9" x14ac:dyDescent="0.25">
      <c r="C26" s="233" t="s">
        <v>239</v>
      </c>
      <c r="D26" s="234"/>
      <c r="E26" s="234"/>
      <c r="F26" s="234"/>
      <c r="G26" s="234"/>
      <c r="H26" s="234"/>
      <c r="I26" s="235"/>
    </row>
    <row r="27" spans="3:9" x14ac:dyDescent="0.25">
      <c r="E27" s="16">
        <v>2026</v>
      </c>
      <c r="F27" s="16">
        <v>2027</v>
      </c>
      <c r="G27" s="16">
        <v>2028</v>
      </c>
      <c r="H27" s="16">
        <v>2029</v>
      </c>
      <c r="I27" s="16">
        <v>2030</v>
      </c>
    </row>
    <row r="28" spans="3:9" x14ac:dyDescent="0.25">
      <c r="C28" s="4"/>
      <c r="D28" s="4"/>
      <c r="E28" s="17">
        <v>46112</v>
      </c>
      <c r="F28" s="17">
        <f t="shared" ref="F28:I28" si="0">EOMONTH(E28,12)</f>
        <v>46477</v>
      </c>
      <c r="G28" s="17">
        <f t="shared" si="0"/>
        <v>46843</v>
      </c>
      <c r="H28" s="17">
        <f t="shared" si="0"/>
        <v>47208</v>
      </c>
      <c r="I28" s="17">
        <f t="shared" si="0"/>
        <v>47573</v>
      </c>
    </row>
    <row r="29" spans="3:9" x14ac:dyDescent="0.25">
      <c r="C29" t="s">
        <v>88</v>
      </c>
      <c r="E29" s="6">
        <f>D13-D15</f>
        <v>93.76</v>
      </c>
      <c r="F29" s="6">
        <f>E29-$D$15</f>
        <v>70.320000000000007</v>
      </c>
      <c r="G29" s="6">
        <f t="shared" ref="G29:I29" si="1">F29-$D$15</f>
        <v>46.88000000000001</v>
      </c>
      <c r="H29" s="6">
        <f t="shared" si="1"/>
        <v>23.440000000000008</v>
      </c>
      <c r="I29" s="6">
        <f t="shared" si="1"/>
        <v>0</v>
      </c>
    </row>
    <row r="30" spans="3:9" x14ac:dyDescent="0.25">
      <c r="C30" t="s">
        <v>256</v>
      </c>
      <c r="E30" s="6">
        <f>D20-D22</f>
        <v>73.25</v>
      </c>
      <c r="F30" s="6">
        <f>E30-$D$22</f>
        <v>58.6</v>
      </c>
      <c r="G30" s="6">
        <f t="shared" ref="G30:I30" si="2">F30-$D$22</f>
        <v>43.95</v>
      </c>
      <c r="H30" s="6">
        <f t="shared" si="2"/>
        <v>29.300000000000004</v>
      </c>
      <c r="I30" s="6">
        <f t="shared" si="2"/>
        <v>14.650000000000006</v>
      </c>
    </row>
    <row r="31" spans="3:9" x14ac:dyDescent="0.25">
      <c r="C31" t="s">
        <v>257</v>
      </c>
      <c r="D31" s="15">
        <f>IF($D$5="Stock Sale",(D15+D22)*Financials!G48,0)</f>
        <v>11.371113063019273</v>
      </c>
      <c r="E31" s="6">
        <f>H17-D31</f>
        <v>49.857957276315268</v>
      </c>
      <c r="F31" s="6">
        <f>E31-$D$31</f>
        <v>38.486844213295996</v>
      </c>
      <c r="G31" s="6">
        <f t="shared" ref="G31:I31" si="3">F31-$D$31</f>
        <v>27.115731150276723</v>
      </c>
      <c r="H31" s="6">
        <f t="shared" si="3"/>
        <v>15.74461808725745</v>
      </c>
      <c r="I31" s="6">
        <f t="shared" si="3"/>
        <v>4.3735050242381774</v>
      </c>
    </row>
    <row r="34" spans="2:12" x14ac:dyDescent="0.25">
      <c r="B34" t="s">
        <v>72</v>
      </c>
      <c r="C34" s="233" t="s">
        <v>226</v>
      </c>
      <c r="D34" s="234"/>
      <c r="E34" s="234"/>
      <c r="F34" s="234"/>
      <c r="G34" s="234"/>
      <c r="H34" s="234"/>
      <c r="I34" s="235"/>
    </row>
    <row r="35" spans="2:12" x14ac:dyDescent="0.25">
      <c r="B35" s="198"/>
      <c r="C35" s="274" t="s">
        <v>5</v>
      </c>
      <c r="D35" s="275"/>
      <c r="E35" s="275">
        <v>2025</v>
      </c>
      <c r="F35" s="277" t="s">
        <v>232</v>
      </c>
      <c r="G35" s="277"/>
      <c r="H35" s="277"/>
      <c r="I35" s="278" t="s">
        <v>230</v>
      </c>
      <c r="J35" s="198"/>
    </row>
    <row r="36" spans="2:12" x14ac:dyDescent="0.25">
      <c r="B36" s="198"/>
      <c r="C36" s="224" t="s">
        <v>6</v>
      </c>
      <c r="D36" s="225"/>
      <c r="E36" s="225">
        <v>45747</v>
      </c>
      <c r="F36" s="279" t="s">
        <v>171</v>
      </c>
      <c r="G36" s="279" t="s">
        <v>169</v>
      </c>
      <c r="H36" s="279" t="s">
        <v>229</v>
      </c>
      <c r="I36" s="225">
        <f>E36</f>
        <v>45747</v>
      </c>
      <c r="J36" s="198"/>
    </row>
    <row r="37" spans="2:12" x14ac:dyDescent="0.25">
      <c r="C37" s="198"/>
      <c r="D37" s="198"/>
      <c r="E37" s="198"/>
      <c r="F37" s="198"/>
      <c r="G37" s="198"/>
      <c r="H37" s="198"/>
      <c r="I37" s="198"/>
    </row>
    <row r="38" spans="2:12" x14ac:dyDescent="0.25">
      <c r="C38" s="198" t="s">
        <v>33</v>
      </c>
      <c r="D38" s="273"/>
      <c r="E38" s="243">
        <f>Financials!F55</f>
        <v>2248</v>
      </c>
      <c r="F38" s="240">
        <f>SUM(F50,F55)</f>
        <v>-51396.53640233702</v>
      </c>
      <c r="G38" s="240">
        <f>SUM(G50,G55,G56)</f>
        <v>49348.53640233702</v>
      </c>
      <c r="H38" s="240"/>
      <c r="I38" s="240">
        <f>SUM(E38:H38)</f>
        <v>200</v>
      </c>
      <c r="L38" s="6"/>
    </row>
    <row r="39" spans="2:12" x14ac:dyDescent="0.25">
      <c r="C39" s="198" t="s">
        <v>39</v>
      </c>
      <c r="D39" s="273"/>
      <c r="E39" s="243">
        <f>Financials!F56</f>
        <v>679</v>
      </c>
      <c r="F39" s="240"/>
      <c r="G39" s="240"/>
      <c r="H39" s="240"/>
      <c r="I39" s="240">
        <f t="shared" ref="I39:I45" si="4">SUM(E39:H39)</f>
        <v>679</v>
      </c>
    </row>
    <row r="40" spans="2:12" x14ac:dyDescent="0.25">
      <c r="C40" s="198" t="s">
        <v>34</v>
      </c>
      <c r="D40" s="273"/>
      <c r="E40" s="243">
        <f>Financials!F57</f>
        <v>349</v>
      </c>
      <c r="F40" s="240"/>
      <c r="G40" s="240"/>
      <c r="H40" s="240"/>
      <c r="I40" s="240">
        <f t="shared" si="4"/>
        <v>349</v>
      </c>
    </row>
    <row r="41" spans="2:12" x14ac:dyDescent="0.25">
      <c r="C41" s="198" t="s">
        <v>38</v>
      </c>
      <c r="D41" s="273"/>
      <c r="E41" s="243">
        <f>Financials!F58</f>
        <v>586</v>
      </c>
      <c r="F41" s="240"/>
      <c r="G41" s="240"/>
      <c r="H41" s="240">
        <f>D13</f>
        <v>117.2</v>
      </c>
      <c r="I41" s="240">
        <f t="shared" si="4"/>
        <v>703.2</v>
      </c>
    </row>
    <row r="42" spans="2:12" x14ac:dyDescent="0.25">
      <c r="C42" s="198" t="s">
        <v>35</v>
      </c>
      <c r="D42" s="273"/>
      <c r="E42" s="243">
        <f>Financials!F59</f>
        <v>5376</v>
      </c>
      <c r="F42" s="240"/>
      <c r="G42" s="240"/>
      <c r="H42" s="240">
        <f>H22</f>
        <v>47668.548376147315</v>
      </c>
      <c r="I42" s="240">
        <f t="shared" si="4"/>
        <v>53044.548376147315</v>
      </c>
    </row>
    <row r="43" spans="2:12" x14ac:dyDescent="0.25">
      <c r="C43" s="198" t="s">
        <v>37</v>
      </c>
      <c r="D43" s="273"/>
      <c r="E43" s="243">
        <f>Financials!F60</f>
        <v>293</v>
      </c>
      <c r="F43" s="240"/>
      <c r="G43" s="240"/>
      <c r="H43" s="240">
        <f>D20</f>
        <v>87.899999999999991</v>
      </c>
      <c r="I43" s="240">
        <f t="shared" si="4"/>
        <v>380.9</v>
      </c>
    </row>
    <row r="44" spans="2:12" x14ac:dyDescent="0.25">
      <c r="C44" s="198" t="s">
        <v>36</v>
      </c>
      <c r="D44" s="273"/>
      <c r="E44" s="243">
        <f>Financials!F61</f>
        <v>2420</v>
      </c>
      <c r="F44" s="240"/>
      <c r="G44" s="240"/>
      <c r="H44" s="240"/>
      <c r="I44" s="240">
        <f t="shared" si="4"/>
        <v>2420</v>
      </c>
      <c r="K44" s="6"/>
    </row>
    <row r="45" spans="2:12" x14ac:dyDescent="0.25">
      <c r="C45" s="4" t="s">
        <v>40</v>
      </c>
      <c r="D45" s="10"/>
      <c r="E45" s="88">
        <f>Financials!F62</f>
        <v>417</v>
      </c>
      <c r="F45" s="7"/>
      <c r="G45" s="7"/>
      <c r="H45" s="7"/>
      <c r="I45" s="7">
        <f t="shared" si="4"/>
        <v>417</v>
      </c>
    </row>
    <row r="46" spans="2:12" x14ac:dyDescent="0.25">
      <c r="C46" s="270" t="s">
        <v>41</v>
      </c>
      <c r="D46" s="269"/>
      <c r="E46" s="269">
        <f>SUM(E38:E45)</f>
        <v>12368</v>
      </c>
      <c r="F46" s="269"/>
      <c r="G46" s="269"/>
      <c r="H46" s="269"/>
      <c r="I46" s="269">
        <f>SUM(I38:I45)</f>
        <v>58193.648376147314</v>
      </c>
    </row>
    <row r="47" spans="2:12" x14ac:dyDescent="0.25">
      <c r="C47" s="198"/>
      <c r="D47" s="240"/>
      <c r="E47" s="240"/>
      <c r="F47" s="240"/>
      <c r="G47" s="240"/>
      <c r="H47" s="240"/>
      <c r="I47" s="240"/>
    </row>
    <row r="48" spans="2:12" x14ac:dyDescent="0.25">
      <c r="C48" s="198" t="s">
        <v>42</v>
      </c>
      <c r="D48" s="273"/>
      <c r="E48" s="243">
        <f>Financials!F65</f>
        <v>1359</v>
      </c>
      <c r="F48" s="240"/>
      <c r="G48" s="240"/>
      <c r="H48" s="240"/>
      <c r="I48" s="240">
        <f>SUM(E48:H48)</f>
        <v>1359</v>
      </c>
    </row>
    <row r="49" spans="2:11" x14ac:dyDescent="0.25">
      <c r="C49" s="198" t="s">
        <v>43</v>
      </c>
      <c r="D49" s="273"/>
      <c r="E49" s="243">
        <f>Financials!F66</f>
        <v>1700</v>
      </c>
      <c r="F49" s="240"/>
      <c r="G49" s="240"/>
      <c r="H49" s="240"/>
      <c r="I49" s="240">
        <f t="shared" ref="I49:I52" si="5">SUM(E49:H49)</f>
        <v>1700</v>
      </c>
    </row>
    <row r="50" spans="2:11" x14ac:dyDescent="0.25">
      <c r="C50" s="198" t="s">
        <v>225</v>
      </c>
      <c r="D50" s="273"/>
      <c r="E50" s="243">
        <f>Financials!F67</f>
        <v>1884</v>
      </c>
      <c r="F50" s="240">
        <f>-LBO!L9-LBO!J26</f>
        <v>-2154.375</v>
      </c>
      <c r="G50" s="240">
        <f>SUM(LBO!H9:H12)</f>
        <v>18025</v>
      </c>
      <c r="H50" s="240"/>
      <c r="I50" s="240">
        <f t="shared" si="5"/>
        <v>17754.625</v>
      </c>
    </row>
    <row r="51" spans="2:11" x14ac:dyDescent="0.25">
      <c r="C51" s="198" t="s">
        <v>44</v>
      </c>
      <c r="D51" s="273"/>
      <c r="E51" s="243">
        <f>Financials!F68</f>
        <v>594</v>
      </c>
      <c r="F51" s="240"/>
      <c r="G51" s="240"/>
      <c r="H51" s="240">
        <f>H17</f>
        <v>61.229070339334541</v>
      </c>
      <c r="I51" s="240">
        <f>SUM(E51:H51)</f>
        <v>655.2290703393345</v>
      </c>
      <c r="K51" s="6"/>
    </row>
    <row r="52" spans="2:11" x14ac:dyDescent="0.25">
      <c r="C52" s="4" t="s">
        <v>45</v>
      </c>
      <c r="D52" s="10"/>
      <c r="E52" s="88">
        <f>Financials!F69</f>
        <v>445</v>
      </c>
      <c r="F52" s="7"/>
      <c r="G52" s="7"/>
      <c r="H52" s="4"/>
      <c r="I52" s="7">
        <f t="shared" si="5"/>
        <v>445</v>
      </c>
    </row>
    <row r="53" spans="2:11" x14ac:dyDescent="0.25">
      <c r="C53" s="270" t="s">
        <v>46</v>
      </c>
      <c r="D53" s="269"/>
      <c r="E53" s="269">
        <f>SUM(E48:E52)</f>
        <v>5982</v>
      </c>
      <c r="F53" s="269"/>
      <c r="G53" s="269"/>
      <c r="H53" s="269"/>
      <c r="I53" s="269">
        <f>SUM(I48:I52)</f>
        <v>21913.854070339334</v>
      </c>
    </row>
    <row r="54" spans="2:11" x14ac:dyDescent="0.25">
      <c r="C54" s="198"/>
      <c r="D54" s="240"/>
      <c r="E54" s="240"/>
      <c r="F54" s="240"/>
      <c r="G54" s="240"/>
      <c r="H54" s="240"/>
      <c r="I54" s="240"/>
    </row>
    <row r="55" spans="2:11" x14ac:dyDescent="0.25">
      <c r="C55" s="198" t="s">
        <v>255</v>
      </c>
      <c r="D55" s="273"/>
      <c r="E55" s="243">
        <f>Financials!F75</f>
        <v>6386</v>
      </c>
      <c r="F55" s="240">
        <f>-LBO!L8-LBO!J29+LBO!H14</f>
        <v>-49242.16140233702</v>
      </c>
      <c r="G55" s="243">
        <f>LBO!H15</f>
        <v>31323.53640233702</v>
      </c>
      <c r="H55" s="240">
        <f>SUM(H41:H43)-H51</f>
        <v>47812.419305807976</v>
      </c>
      <c r="I55" s="240">
        <f>SUM(E55:H55)</f>
        <v>36279.794305807976</v>
      </c>
    </row>
    <row r="56" spans="2:11" x14ac:dyDescent="0.25">
      <c r="C56" s="4" t="s">
        <v>254</v>
      </c>
      <c r="D56" s="10"/>
      <c r="E56" s="85" t="s">
        <v>187</v>
      </c>
      <c r="F56" s="7"/>
      <c r="G56" s="7">
        <f>LBO!H13</f>
        <v>0</v>
      </c>
      <c r="H56" s="7"/>
      <c r="I56" s="7">
        <f>SUM(F56:H56)</f>
        <v>0</v>
      </c>
    </row>
    <row r="57" spans="2:11" x14ac:dyDescent="0.25">
      <c r="C57" s="270" t="s">
        <v>49</v>
      </c>
      <c r="D57" s="269"/>
      <c r="E57" s="269">
        <f>SUM(E55:E56)</f>
        <v>6386</v>
      </c>
      <c r="F57" s="269"/>
      <c r="G57" s="269"/>
      <c r="H57" s="269"/>
      <c r="I57" s="269">
        <f>SUM(I55:I56)</f>
        <v>36279.794305807976</v>
      </c>
    </row>
    <row r="58" spans="2:11" x14ac:dyDescent="0.25">
      <c r="C58" s="198"/>
      <c r="D58" s="198"/>
      <c r="E58" s="198"/>
      <c r="F58" s="198"/>
      <c r="G58" s="198"/>
      <c r="H58" s="198"/>
      <c r="I58" s="198"/>
    </row>
    <row r="59" spans="2:11" x14ac:dyDescent="0.25">
      <c r="C59" s="271" t="s">
        <v>51</v>
      </c>
      <c r="D59" s="272"/>
      <c r="E59" s="272">
        <f>E46-E53-E57</f>
        <v>0</v>
      </c>
      <c r="F59" s="272"/>
      <c r="G59" s="272"/>
      <c r="H59" s="272"/>
      <c r="I59" s="272">
        <f>I46-I53-I57</f>
        <v>0</v>
      </c>
    </row>
    <row r="62" spans="2:11" x14ac:dyDescent="0.25">
      <c r="B62" t="s">
        <v>72</v>
      </c>
      <c r="C62" s="233" t="s">
        <v>227</v>
      </c>
      <c r="D62" s="234"/>
      <c r="E62" s="234"/>
      <c r="F62" s="234"/>
      <c r="G62" s="234"/>
      <c r="H62" s="234"/>
      <c r="I62" s="235"/>
    </row>
    <row r="63" spans="2:11" x14ac:dyDescent="0.25">
      <c r="B63" s="198"/>
      <c r="C63" s="274" t="s">
        <v>5</v>
      </c>
      <c r="D63" s="275">
        <v>2025</v>
      </c>
      <c r="E63" s="276">
        <v>2026</v>
      </c>
      <c r="F63" s="276">
        <v>2027</v>
      </c>
      <c r="G63" s="276">
        <v>2028</v>
      </c>
      <c r="H63" s="276">
        <v>2029</v>
      </c>
      <c r="I63" s="276">
        <v>2030</v>
      </c>
      <c r="J63" s="198"/>
    </row>
    <row r="64" spans="2:11" x14ac:dyDescent="0.25">
      <c r="B64" s="198"/>
      <c r="C64" s="224" t="s">
        <v>6</v>
      </c>
      <c r="D64" s="225">
        <v>45747</v>
      </c>
      <c r="E64" s="225">
        <f>EOMONTH(D64,12)</f>
        <v>46112</v>
      </c>
      <c r="F64" s="225">
        <f t="shared" ref="F64:I64" si="6">EOMONTH(E64,12)</f>
        <v>46477</v>
      </c>
      <c r="G64" s="225">
        <f t="shared" si="6"/>
        <v>46843</v>
      </c>
      <c r="H64" s="225">
        <f t="shared" si="6"/>
        <v>47208</v>
      </c>
      <c r="I64" s="225">
        <f t="shared" si="6"/>
        <v>47573</v>
      </c>
      <c r="J64" s="198"/>
    </row>
    <row r="65" spans="3:10" x14ac:dyDescent="0.25">
      <c r="C65" s="198"/>
      <c r="D65" s="198"/>
      <c r="E65" s="198"/>
      <c r="F65" s="198"/>
      <c r="G65" s="198"/>
      <c r="H65" s="198"/>
      <c r="I65" s="198"/>
    </row>
    <row r="66" spans="3:10" x14ac:dyDescent="0.25">
      <c r="C66" s="198" t="s">
        <v>33</v>
      </c>
      <c r="D66" s="268">
        <f t="shared" ref="D66:D73" si="7">I38</f>
        <v>200</v>
      </c>
      <c r="E66" s="243">
        <f ca="1">Financials!G199</f>
        <v>200</v>
      </c>
      <c r="F66" s="243">
        <f ca="1">Financials!H199</f>
        <v>200</v>
      </c>
      <c r="G66" s="243">
        <f ca="1">Financials!I199</f>
        <v>200</v>
      </c>
      <c r="H66" s="243">
        <f ca="1">Financials!J199</f>
        <v>200</v>
      </c>
      <c r="I66" s="243">
        <f ca="1">Financials!K199</f>
        <v>200</v>
      </c>
      <c r="J66" s="198"/>
    </row>
    <row r="67" spans="3:10" x14ac:dyDescent="0.25">
      <c r="C67" s="198" t="s">
        <v>39</v>
      </c>
      <c r="D67" s="268">
        <f t="shared" si="7"/>
        <v>679</v>
      </c>
      <c r="E67" s="243">
        <f>Financials!G120</f>
        <v>736.23779847246419</v>
      </c>
      <c r="F67" s="243">
        <f>Financials!H120</f>
        <v>765.35846442449429</v>
      </c>
      <c r="G67" s="243">
        <f>Financials!I120</f>
        <v>807.27213453034983</v>
      </c>
      <c r="H67" s="243">
        <f>Financials!J120</f>
        <v>892.505149403725</v>
      </c>
      <c r="I67" s="243">
        <f>Financials!K120</f>
        <v>950.58180356425021</v>
      </c>
      <c r="J67" s="198"/>
    </row>
    <row r="68" spans="3:10" x14ac:dyDescent="0.25">
      <c r="C68" s="198" t="s">
        <v>34</v>
      </c>
      <c r="D68" s="268">
        <f t="shared" si="7"/>
        <v>349</v>
      </c>
      <c r="E68" s="243">
        <f>Financials!G130</f>
        <v>378.41972263164945</v>
      </c>
      <c r="F68" s="243">
        <f>Financials!H130</f>
        <v>393.38748760552056</v>
      </c>
      <c r="G68" s="243">
        <f>Financials!I130</f>
        <v>414.9307436687659</v>
      </c>
      <c r="H68" s="243">
        <f>Financials!J130</f>
        <v>458.73976015007361</v>
      </c>
      <c r="I68" s="243">
        <f>Financials!K130</f>
        <v>488.59064719281781</v>
      </c>
      <c r="J68" s="198"/>
    </row>
    <row r="69" spans="3:10" x14ac:dyDescent="0.25">
      <c r="C69" s="198" t="s">
        <v>38</v>
      </c>
      <c r="D69" s="268">
        <f t="shared" si="7"/>
        <v>703.2</v>
      </c>
      <c r="E69" s="240">
        <f>Financials!G164+E29</f>
        <v>671.86374487471517</v>
      </c>
      <c r="F69" s="240">
        <f>Financials!H164+F29</f>
        <v>680.02407744874711</v>
      </c>
      <c r="G69" s="240">
        <f>Financials!I164+G29</f>
        <v>697.1804464692483</v>
      </c>
      <c r="H69" s="240">
        <f>Financials!J164+H29</f>
        <v>712.72246833712984</v>
      </c>
      <c r="I69" s="240">
        <f>Financials!K164+I29</f>
        <v>702.53382542141219</v>
      </c>
      <c r="J69" s="198"/>
    </row>
    <row r="70" spans="3:10" x14ac:dyDescent="0.25">
      <c r="C70" s="198" t="s">
        <v>35</v>
      </c>
      <c r="D70" s="268">
        <f t="shared" si="7"/>
        <v>53044.548376147315</v>
      </c>
      <c r="E70" s="240">
        <f>D70</f>
        <v>53044.548376147315</v>
      </c>
      <c r="F70" s="240">
        <f t="shared" ref="F70:I70" si="8">E70</f>
        <v>53044.548376147315</v>
      </c>
      <c r="G70" s="240">
        <f t="shared" si="8"/>
        <v>53044.548376147315</v>
      </c>
      <c r="H70" s="240">
        <f t="shared" si="8"/>
        <v>53044.548376147315</v>
      </c>
      <c r="I70" s="240">
        <f t="shared" si="8"/>
        <v>53044.548376147315</v>
      </c>
      <c r="J70" s="198"/>
    </row>
    <row r="71" spans="3:10" x14ac:dyDescent="0.25">
      <c r="C71" s="198" t="s">
        <v>37</v>
      </c>
      <c r="D71" s="268">
        <f t="shared" si="7"/>
        <v>380.9</v>
      </c>
      <c r="E71" s="240">
        <f>Financials!G190+E30</f>
        <v>390.94907945866277</v>
      </c>
      <c r="F71" s="240">
        <f>Financials!H190+F30</f>
        <v>388.86514002411906</v>
      </c>
      <c r="G71" s="240">
        <f>Financials!I190+G30</f>
        <v>392.30159855286081</v>
      </c>
      <c r="H71" s="240">
        <f>Financials!J190+H30</f>
        <v>414.43108803430255</v>
      </c>
      <c r="I71" s="240">
        <f>Financials!K190+I30</f>
        <v>424.84214792978696</v>
      </c>
      <c r="J71" s="198"/>
    </row>
    <row r="72" spans="3:10" x14ac:dyDescent="0.25">
      <c r="C72" s="198" t="s">
        <v>36</v>
      </c>
      <c r="D72" s="268">
        <f t="shared" si="7"/>
        <v>2420</v>
      </c>
      <c r="E72" s="240">
        <f>D72</f>
        <v>2420</v>
      </c>
      <c r="F72" s="240">
        <f t="shared" ref="F72:I72" si="9">E72</f>
        <v>2420</v>
      </c>
      <c r="G72" s="240">
        <f t="shared" si="9"/>
        <v>2420</v>
      </c>
      <c r="H72" s="240">
        <f t="shared" si="9"/>
        <v>2420</v>
      </c>
      <c r="I72" s="240">
        <f t="shared" si="9"/>
        <v>2420</v>
      </c>
      <c r="J72" s="198"/>
    </row>
    <row r="73" spans="3:10" x14ac:dyDescent="0.25">
      <c r="C73" s="4" t="s">
        <v>40</v>
      </c>
      <c r="D73" s="22">
        <f t="shared" si="7"/>
        <v>417</v>
      </c>
      <c r="E73" s="7">
        <f>D73</f>
        <v>417</v>
      </c>
      <c r="F73" s="7">
        <f t="shared" ref="F73:I73" si="10">E73</f>
        <v>417</v>
      </c>
      <c r="G73" s="7">
        <f t="shared" si="10"/>
        <v>417</v>
      </c>
      <c r="H73" s="7">
        <f t="shared" si="10"/>
        <v>417</v>
      </c>
      <c r="I73" s="7">
        <f t="shared" si="10"/>
        <v>417</v>
      </c>
      <c r="J73" s="198"/>
    </row>
    <row r="74" spans="3:10" x14ac:dyDescent="0.25">
      <c r="C74" s="270" t="s">
        <v>41</v>
      </c>
      <c r="D74" s="269">
        <f>SUM(D66:D73)</f>
        <v>58193.648376147314</v>
      </c>
      <c r="E74" s="269">
        <f t="shared" ref="E74:I74" ca="1" si="11">SUM(E66:E73)</f>
        <v>58259.018721584805</v>
      </c>
      <c r="F74" s="269">
        <f t="shared" ca="1" si="11"/>
        <v>58309.183545650201</v>
      </c>
      <c r="G74" s="269">
        <f t="shared" ca="1" si="11"/>
        <v>58393.233299368541</v>
      </c>
      <c r="H74" s="269">
        <f t="shared" ca="1" si="11"/>
        <v>58559.946842072546</v>
      </c>
      <c r="I74" s="269">
        <f t="shared" ca="1" si="11"/>
        <v>58648.096800255582</v>
      </c>
      <c r="J74" s="198"/>
    </row>
    <row r="75" spans="3:10" x14ac:dyDescent="0.25">
      <c r="C75" s="198"/>
      <c r="D75" s="240"/>
      <c r="E75" s="240"/>
      <c r="F75" s="240"/>
      <c r="G75" s="240"/>
      <c r="H75" s="240"/>
      <c r="I75" s="240"/>
      <c r="J75" s="198"/>
    </row>
    <row r="76" spans="3:10" x14ac:dyDescent="0.25">
      <c r="C76" s="198" t="s">
        <v>42</v>
      </c>
      <c r="D76" s="268">
        <f>I48</f>
        <v>1359</v>
      </c>
      <c r="E76" s="243">
        <f>Financials!G140</f>
        <v>1601.7018895404785</v>
      </c>
      <c r="F76" s="243">
        <f>Financials!H140</f>
        <v>1665.0545532814835</v>
      </c>
      <c r="G76" s="243">
        <f>Financials!I140</f>
        <v>1756.2386852907503</v>
      </c>
      <c r="H76" s="243">
        <f>Financials!J140</f>
        <v>1941.6650261512193</v>
      </c>
      <c r="I76" s="243">
        <f>Financials!K140</f>
        <v>2068.0120934983479</v>
      </c>
      <c r="J76" s="198"/>
    </row>
    <row r="77" spans="3:10" x14ac:dyDescent="0.25">
      <c r="C77" s="198" t="s">
        <v>43</v>
      </c>
      <c r="D77" s="268">
        <f>I49</f>
        <v>1700</v>
      </c>
      <c r="E77" s="243">
        <f>Financials!G150</f>
        <v>1843.3052391799545</v>
      </c>
      <c r="F77" s="243">
        <f>Financials!H150</f>
        <v>1916.2141230068339</v>
      </c>
      <c r="G77" s="243">
        <f>Financials!I150</f>
        <v>2021.1526195899776</v>
      </c>
      <c r="H77" s="243">
        <f>Financials!J150</f>
        <v>2234.5489749430526</v>
      </c>
      <c r="I77" s="243">
        <f>Financials!K150</f>
        <v>2379.95444191344</v>
      </c>
      <c r="J77" s="198"/>
    </row>
    <row r="78" spans="3:10" x14ac:dyDescent="0.25">
      <c r="C78" s="198" t="s">
        <v>225</v>
      </c>
      <c r="D78" s="268">
        <f>I50</f>
        <v>17754.625</v>
      </c>
      <c r="E78" s="240">
        <f ca="1">SUM(Financials!G212,Financials!G218,Financials!G225,Financials!G232)-Financials!G244</f>
        <v>16494.530587782334</v>
      </c>
      <c r="F78" s="240">
        <f ca="1">SUM(Financials!H212,Financials!H218,Financials!H225,Financials!H232)-Financials!H244</f>
        <v>15318.052465209119</v>
      </c>
      <c r="G78" s="240">
        <f ca="1">SUM(Financials!I212,Financials!I218,Financials!I225,Financials!I232)-Financials!I244</f>
        <v>13923.027882674063</v>
      </c>
      <c r="H78" s="240">
        <f ca="1">SUM(Financials!J212,Financials!J218,Financials!J225,Financials!J232)-Financials!J244</f>
        <v>12117.948001682538</v>
      </c>
      <c r="I78" s="240">
        <f ca="1">SUM(Financials!K212,Financials!K218,Financials!K225,Financials!K232)-Financials!K244</f>
        <v>10129.123268482675</v>
      </c>
      <c r="J78" s="198"/>
    </row>
    <row r="79" spans="3:10" x14ac:dyDescent="0.25">
      <c r="C79" s="198" t="s">
        <v>44</v>
      </c>
      <c r="D79" s="268">
        <f>I51</f>
        <v>655.2290703393345</v>
      </c>
      <c r="E79" s="240">
        <f>$E$51+E31</f>
        <v>643.85795727631523</v>
      </c>
      <c r="F79" s="240">
        <f t="shared" ref="F79:I79" si="12">$E$51+F31</f>
        <v>632.48684421329597</v>
      </c>
      <c r="G79" s="240">
        <f t="shared" si="12"/>
        <v>621.1157311502767</v>
      </c>
      <c r="H79" s="240">
        <f t="shared" si="12"/>
        <v>609.74461808725744</v>
      </c>
      <c r="I79" s="240">
        <f t="shared" si="12"/>
        <v>598.37350502423817</v>
      </c>
      <c r="J79" s="198"/>
    </row>
    <row r="80" spans="3:10" x14ac:dyDescent="0.25">
      <c r="C80" s="4" t="s">
        <v>45</v>
      </c>
      <c r="D80" s="22">
        <f>I52</f>
        <v>445</v>
      </c>
      <c r="E80" s="7">
        <f>D80</f>
        <v>445</v>
      </c>
      <c r="F80" s="7">
        <f t="shared" ref="F80:I80" si="13">E80</f>
        <v>445</v>
      </c>
      <c r="G80" s="7">
        <f t="shared" si="13"/>
        <v>445</v>
      </c>
      <c r="H80" s="7">
        <f t="shared" si="13"/>
        <v>445</v>
      </c>
      <c r="I80" s="7">
        <f t="shared" si="13"/>
        <v>445</v>
      </c>
      <c r="J80" s="198"/>
    </row>
    <row r="81" spans="3:10" x14ac:dyDescent="0.25">
      <c r="C81" s="270" t="s">
        <v>46</v>
      </c>
      <c r="D81" s="269">
        <f>SUM(D76:D80)</f>
        <v>21913.854070339334</v>
      </c>
      <c r="E81" s="269">
        <f t="shared" ref="E81:I81" ca="1" si="14">SUM(E76:E80)</f>
        <v>21028.395673779083</v>
      </c>
      <c r="F81" s="269">
        <f t="shared" ca="1" si="14"/>
        <v>19976.807985710733</v>
      </c>
      <c r="G81" s="269">
        <f t="shared" ca="1" si="14"/>
        <v>18766.534918705067</v>
      </c>
      <c r="H81" s="269">
        <f t="shared" ca="1" si="14"/>
        <v>17348.906620864069</v>
      </c>
      <c r="I81" s="269">
        <f t="shared" ca="1" si="14"/>
        <v>15620.463308918701</v>
      </c>
      <c r="J81" s="198"/>
    </row>
    <row r="82" spans="3:10" x14ac:dyDescent="0.25">
      <c r="C82" s="198"/>
      <c r="D82" s="240"/>
      <c r="E82" s="240"/>
      <c r="F82" s="240"/>
      <c r="G82" s="240"/>
      <c r="H82" s="240"/>
      <c r="I82" s="240"/>
      <c r="J82" s="198"/>
    </row>
    <row r="83" spans="3:10" x14ac:dyDescent="0.25">
      <c r="C83" s="198" t="s">
        <v>255</v>
      </c>
      <c r="D83" s="268">
        <f>I55</f>
        <v>36279.794305807976</v>
      </c>
      <c r="E83" s="240">
        <f ca="1">D83+Financials!G31-(Financials!G237+Financials!G239)+Financials!G35</f>
        <v>37230.623047805719</v>
      </c>
      <c r="F83" s="240">
        <f ca="1">E83+Financials!H31-(Financials!H237+Financials!H239)+Financials!H35</f>
        <v>38332.375559939457</v>
      </c>
      <c r="G83" s="240">
        <f ca="1">F83+Financials!I31-(Financials!I237+Financials!I239)+Financials!I35</f>
        <v>39626.69838066346</v>
      </c>
      <c r="H83" s="240">
        <f ca="1">G83+Financials!J31-(Financials!J237+Financials!J239)+Financials!J35</f>
        <v>41211.040221208466</v>
      </c>
      <c r="I83" s="240">
        <f ca="1">H83+Financials!K31-(Financials!K237+Financials!K239)+Financials!K35</f>
        <v>43027.63349133687</v>
      </c>
      <c r="J83" s="198"/>
    </row>
    <row r="84" spans="3:10" x14ac:dyDescent="0.25">
      <c r="C84" s="4" t="s">
        <v>254</v>
      </c>
      <c r="D84" s="87">
        <f>I56</f>
        <v>0</v>
      </c>
      <c r="E84" s="7">
        <f>Financials!G238</f>
        <v>0</v>
      </c>
      <c r="F84" s="7">
        <f>Financials!H238</f>
        <v>0</v>
      </c>
      <c r="G84" s="7">
        <f>Financials!I238</f>
        <v>0</v>
      </c>
      <c r="H84" s="7">
        <f>Financials!J238</f>
        <v>0</v>
      </c>
      <c r="I84" s="7">
        <f>Financials!K238</f>
        <v>0</v>
      </c>
      <c r="J84" s="198"/>
    </row>
    <row r="85" spans="3:10" x14ac:dyDescent="0.25">
      <c r="C85" s="270" t="s">
        <v>49</v>
      </c>
      <c r="D85" s="269">
        <f>SUM(D83:D84)</f>
        <v>36279.794305807976</v>
      </c>
      <c r="E85" s="269">
        <f ca="1">SUM(E83:E84)</f>
        <v>37230.623047805719</v>
      </c>
      <c r="F85" s="269">
        <f t="shared" ref="F85:I85" ca="1" si="15">SUM(F83:F84)</f>
        <v>38332.375559939457</v>
      </c>
      <c r="G85" s="269">
        <f t="shared" ca="1" si="15"/>
        <v>39626.69838066346</v>
      </c>
      <c r="H85" s="269">
        <f t="shared" ca="1" si="15"/>
        <v>41211.040221208466</v>
      </c>
      <c r="I85" s="269">
        <f t="shared" ca="1" si="15"/>
        <v>43027.63349133687</v>
      </c>
      <c r="J85" s="198"/>
    </row>
    <row r="86" spans="3:10" x14ac:dyDescent="0.25">
      <c r="C86" s="198"/>
      <c r="D86" s="240"/>
      <c r="E86" s="240"/>
      <c r="F86" s="240"/>
      <c r="G86" s="240"/>
      <c r="H86" s="240"/>
      <c r="I86" s="240"/>
      <c r="J86" s="198"/>
    </row>
    <row r="87" spans="3:10" x14ac:dyDescent="0.25">
      <c r="C87" s="271" t="s">
        <v>51</v>
      </c>
      <c r="D87" s="272">
        <f>D74-D81-D85</f>
        <v>0</v>
      </c>
      <c r="E87" s="272">
        <f t="shared" ref="E87:I87" ca="1" si="16">E74-E81-E85</f>
        <v>0</v>
      </c>
      <c r="F87" s="272">
        <f t="shared" ca="1" si="16"/>
        <v>0</v>
      </c>
      <c r="G87" s="272">
        <f t="shared" ca="1" si="16"/>
        <v>0</v>
      </c>
      <c r="H87" s="272">
        <f t="shared" ca="1" si="16"/>
        <v>0</v>
      </c>
      <c r="I87" s="272">
        <f t="shared" ca="1" si="16"/>
        <v>0</v>
      </c>
      <c r="J87" s="198"/>
    </row>
  </sheetData>
  <dataValidations count="2">
    <dataValidation type="list" allowBlank="1" showInputMessage="1" showErrorMessage="1" sqref="D6" xr:uid="{8E57B37F-EABF-4A52-A48F-6F6BDA981B35}">
      <formula1>"LBO,Recap"</formula1>
    </dataValidation>
    <dataValidation type="list" allowBlank="1" showInputMessage="1" showErrorMessage="1" sqref="D5" xr:uid="{87171045-827D-4B7C-9B40-83969D1E7619}">
      <formula1>"Stock Sale,Asset Sale"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91AF0-CA77-4C81-956D-F23ECE540BC4}">
  <dimension ref="C2:P37"/>
  <sheetViews>
    <sheetView showGridLines="0" workbookViewId="0">
      <selection activeCell="F16" sqref="F16"/>
    </sheetView>
  </sheetViews>
  <sheetFormatPr defaultRowHeight="15" x14ac:dyDescent="0.25"/>
  <cols>
    <col min="1" max="2" width="2.140625" style="1" customWidth="1"/>
    <col min="3" max="3" width="37.28515625" style="1" customWidth="1"/>
    <col min="4" max="5" width="13.140625" style="1" customWidth="1"/>
    <col min="6" max="6" width="28.5703125" style="1" bestFit="1" customWidth="1"/>
    <col min="7" max="12" width="20" style="1" customWidth="1"/>
    <col min="13" max="13" width="2.140625" style="1" customWidth="1"/>
    <col min="14" max="16" width="12.28515625" style="1" customWidth="1"/>
    <col min="17" max="16384" width="9.140625" style="1"/>
  </cols>
  <sheetData>
    <row r="2" spans="3:16" ht="19.5" x14ac:dyDescent="0.3">
      <c r="C2" s="211" t="s">
        <v>284</v>
      </c>
      <c r="D2" s="212"/>
      <c r="E2" s="212"/>
      <c r="F2" s="212"/>
      <c r="G2" s="212"/>
      <c r="H2" s="212"/>
      <c r="I2" s="212"/>
      <c r="J2" s="212"/>
      <c r="K2" s="212"/>
      <c r="L2" s="213"/>
      <c r="M2"/>
      <c r="N2"/>
      <c r="O2"/>
      <c r="P2"/>
    </row>
    <row r="3" spans="3:16" x14ac:dyDescent="0.25">
      <c r="C3" s="214" t="s">
        <v>1</v>
      </c>
      <c r="D3" s="215"/>
      <c r="E3" s="215"/>
      <c r="F3" s="215"/>
      <c r="G3" s="215"/>
      <c r="H3" s="215"/>
      <c r="I3" s="215"/>
      <c r="J3" s="215"/>
      <c r="K3" s="215"/>
      <c r="L3" s="216"/>
      <c r="M3"/>
      <c r="N3"/>
      <c r="O3"/>
      <c r="P3"/>
    </row>
    <row r="4" spans="3:16" x14ac:dyDescent="0.25">
      <c r="M4"/>
      <c r="N4"/>
      <c r="O4"/>
      <c r="P4"/>
    </row>
    <row r="5" spans="3:16" x14ac:dyDescent="0.25">
      <c r="C5" s="228" t="s">
        <v>285</v>
      </c>
      <c r="D5" s="230"/>
      <c r="E5"/>
      <c r="F5" s="233" t="s">
        <v>286</v>
      </c>
      <c r="G5" s="234"/>
      <c r="H5" s="234"/>
      <c r="I5" s="234"/>
      <c r="J5" s="234"/>
      <c r="K5" s="234"/>
      <c r="L5" s="235"/>
      <c r="M5"/>
      <c r="N5"/>
      <c r="O5"/>
      <c r="P5"/>
    </row>
    <row r="6" spans="3:16" x14ac:dyDescent="0.25">
      <c r="C6" s="56"/>
      <c r="D6" s="58"/>
      <c r="F6" s="56"/>
      <c r="G6" s="57"/>
      <c r="H6" s="263" t="s">
        <v>287</v>
      </c>
      <c r="I6" s="57"/>
      <c r="J6" s="57"/>
      <c r="K6" s="57"/>
      <c r="L6" s="58"/>
    </row>
    <row r="7" spans="3:16" x14ac:dyDescent="0.25">
      <c r="C7" s="29" t="s">
        <v>288</v>
      </c>
      <c r="D7" s="259">
        <v>0.20953999999999998</v>
      </c>
      <c r="F7" s="264" t="s">
        <v>144</v>
      </c>
      <c r="G7" s="26" t="s">
        <v>145</v>
      </c>
      <c r="H7" s="26" t="s">
        <v>289</v>
      </c>
      <c r="I7" s="26" t="s">
        <v>290</v>
      </c>
      <c r="J7" s="26" t="s">
        <v>291</v>
      </c>
      <c r="K7" s="26" t="s">
        <v>292</v>
      </c>
      <c r="L7" s="54" t="s">
        <v>293</v>
      </c>
    </row>
    <row r="8" spans="3:16" x14ac:dyDescent="0.25">
      <c r="C8" s="29" t="s">
        <v>294</v>
      </c>
      <c r="D8" s="259">
        <v>4.3099999999999999E-2</v>
      </c>
      <c r="F8" s="42" t="s">
        <v>316</v>
      </c>
      <c r="G8" s="195" t="s">
        <v>317</v>
      </c>
      <c r="H8" s="265">
        <v>8.8375000000000009E-2</v>
      </c>
      <c r="I8" s="266">
        <v>1.67</v>
      </c>
      <c r="J8" s="206">
        <v>1764.4</v>
      </c>
      <c r="K8" s="206">
        <v>79317.600000000006</v>
      </c>
      <c r="L8" s="267">
        <f>I8/(1+(1-H8)*(J8/K8))</f>
        <v>1.6368073986253318</v>
      </c>
    </row>
    <row r="9" spans="3:16" x14ac:dyDescent="0.25">
      <c r="C9" s="31" t="s">
        <v>295</v>
      </c>
      <c r="D9" s="260">
        <v>4.1799999999999997E-2</v>
      </c>
      <c r="F9" s="42" t="s">
        <v>318</v>
      </c>
      <c r="G9" s="195" t="s">
        <v>320</v>
      </c>
      <c r="H9" s="265">
        <v>0.14513999999999999</v>
      </c>
      <c r="I9" s="266">
        <v>0.97</v>
      </c>
      <c r="J9" s="206">
        <v>3511.7</v>
      </c>
      <c r="K9" s="206">
        <v>42868.7</v>
      </c>
      <c r="L9" s="267">
        <f t="shared" ref="L9:L11" si="0">I9/(1+(1-H9)*(J9/K9))</f>
        <v>0.90651828393462741</v>
      </c>
    </row>
    <row r="10" spans="3:16" x14ac:dyDescent="0.25">
      <c r="F10" s="42" t="s">
        <v>319</v>
      </c>
      <c r="G10" s="195" t="s">
        <v>321</v>
      </c>
      <c r="H10" s="265">
        <v>0.31840000000000002</v>
      </c>
      <c r="I10" s="266">
        <v>0.88</v>
      </c>
      <c r="J10" s="206">
        <v>2541.5</v>
      </c>
      <c r="K10" s="206">
        <v>1571.9</v>
      </c>
      <c r="L10" s="267">
        <f t="shared" si="0"/>
        <v>0.41864224124885929</v>
      </c>
    </row>
    <row r="11" spans="3:16" x14ac:dyDescent="0.25">
      <c r="C11" s="228" t="s">
        <v>296</v>
      </c>
      <c r="D11" s="230"/>
      <c r="F11" s="42" t="s">
        <v>322</v>
      </c>
      <c r="G11" s="195" t="s">
        <v>323</v>
      </c>
      <c r="H11" s="265">
        <v>0.32333333333333336</v>
      </c>
      <c r="I11" s="266">
        <v>0.95</v>
      </c>
      <c r="J11" s="206">
        <v>8.6</v>
      </c>
      <c r="K11" s="206">
        <v>95.5</v>
      </c>
      <c r="L11" s="267">
        <f t="shared" si="0"/>
        <v>0.89543621158186337</v>
      </c>
    </row>
    <row r="12" spans="3:16" x14ac:dyDescent="0.25">
      <c r="C12" s="56"/>
      <c r="D12" s="58"/>
      <c r="F12" s="302" t="s">
        <v>297</v>
      </c>
      <c r="G12" s="185"/>
      <c r="H12" s="185"/>
      <c r="I12" s="185"/>
      <c r="J12" s="185"/>
      <c r="K12" s="185"/>
      <c r="L12" s="335">
        <f>AVERAGE(L8:L11)</f>
        <v>0.9643510338476704</v>
      </c>
    </row>
    <row r="13" spans="3:16" x14ac:dyDescent="0.25">
      <c r="C13" s="29" t="s">
        <v>295</v>
      </c>
      <c r="D13" s="261">
        <f>D9</f>
        <v>4.1799999999999997E-2</v>
      </c>
      <c r="F13" s="29" t="s">
        <v>311</v>
      </c>
      <c r="G13" s="195"/>
      <c r="H13" s="195"/>
      <c r="I13" s="195"/>
      <c r="J13" s="195"/>
      <c r="K13" s="195"/>
      <c r="L13" s="261">
        <f>D7</f>
        <v>0.20953999999999998</v>
      </c>
    </row>
    <row r="14" spans="3:16" x14ac:dyDescent="0.25">
      <c r="C14" s="29" t="s">
        <v>290</v>
      </c>
      <c r="D14" s="262">
        <f>L16</f>
        <v>0.99741027638008306</v>
      </c>
      <c r="F14" s="29" t="s">
        <v>291</v>
      </c>
      <c r="G14" s="195"/>
      <c r="H14" s="195"/>
      <c r="I14" s="195"/>
      <c r="J14" s="195"/>
      <c r="K14" s="195"/>
      <c r="L14" s="242">
        <f>SUM(DCF!I52:I56)</f>
        <v>1884</v>
      </c>
    </row>
    <row r="15" spans="3:16" x14ac:dyDescent="0.25">
      <c r="C15" s="29" t="s">
        <v>298</v>
      </c>
      <c r="D15" s="92">
        <f>D13*D14</f>
        <v>4.1691749552687465E-2</v>
      </c>
      <c r="F15" s="29" t="s">
        <v>292</v>
      </c>
      <c r="G15" s="195"/>
      <c r="H15" s="195"/>
      <c r="I15" s="195"/>
      <c r="J15" s="195"/>
      <c r="K15" s="195"/>
      <c r="L15" s="242">
        <f>DCF!I72*DCF!D8</f>
        <v>43441.323512160001</v>
      </c>
    </row>
    <row r="16" spans="3:16" x14ac:dyDescent="0.25">
      <c r="C16" s="29" t="s">
        <v>299</v>
      </c>
      <c r="D16" s="261">
        <f>D8</f>
        <v>4.3099999999999999E-2</v>
      </c>
      <c r="F16" s="236" t="s">
        <v>324</v>
      </c>
      <c r="G16" s="185"/>
      <c r="H16" s="185"/>
      <c r="I16" s="185"/>
      <c r="J16" s="185"/>
      <c r="K16" s="185"/>
      <c r="L16" s="255">
        <f>L12*(1+(1-L13)*(L14/L15))</f>
        <v>0.99741027638008306</v>
      </c>
    </row>
    <row r="17" spans="3:15" x14ac:dyDescent="0.25">
      <c r="C17" s="236" t="s">
        <v>300</v>
      </c>
      <c r="D17" s="257">
        <f>D15+D16</f>
        <v>8.4791749552687465E-2</v>
      </c>
    </row>
    <row r="18" spans="3:15" x14ac:dyDescent="0.25">
      <c r="C18" s="29" t="s">
        <v>301</v>
      </c>
      <c r="D18" s="261">
        <f>L15/(L15+L14)</f>
        <v>0.95843383225947509</v>
      </c>
      <c r="F18" s="252" t="s">
        <v>303</v>
      </c>
      <c r="G18" s="253"/>
      <c r="H18" s="253"/>
      <c r="I18" s="253"/>
      <c r="J18" s="253"/>
      <c r="K18" s="253"/>
      <c r="L18" s="254"/>
    </row>
    <row r="19" spans="3:15" x14ac:dyDescent="0.25">
      <c r="C19" s="29" t="s">
        <v>302</v>
      </c>
      <c r="D19" s="92">
        <f>D17*D18</f>
        <v>8.1267281467767877E-2</v>
      </c>
      <c r="F19" s="79"/>
      <c r="G19" s="80"/>
      <c r="H19" s="80"/>
      <c r="I19" s="80"/>
      <c r="J19" s="80"/>
      <c r="K19" s="80"/>
      <c r="L19" s="71"/>
    </row>
    <row r="20" spans="3:15" x14ac:dyDescent="0.25">
      <c r="C20" s="29"/>
      <c r="D20" s="30"/>
      <c r="F20" s="164" t="s">
        <v>305</v>
      </c>
      <c r="G20" s="24"/>
      <c r="H20" s="24"/>
      <c r="I20" s="165"/>
      <c r="J20" s="24"/>
      <c r="K20" s="24"/>
      <c r="L20" s="166"/>
    </row>
    <row r="21" spans="3:15" x14ac:dyDescent="0.25">
      <c r="C21" s="29" t="s">
        <v>304</v>
      </c>
      <c r="D21" s="261">
        <f>-Financials!F26/Financials!F67</f>
        <v>3.0785562632696391E-2</v>
      </c>
      <c r="F21" s="167">
        <f>D27</f>
        <v>8.2278784010881553E-2</v>
      </c>
      <c r="G21" s="168">
        <v>5.0000000000000001E-3</v>
      </c>
      <c r="H21" s="102">
        <f>G21+$N$25</f>
        <v>1.4999999999999999E-2</v>
      </c>
      <c r="I21" s="102">
        <f>H21+$N$25</f>
        <v>2.5000000000000001E-2</v>
      </c>
      <c r="J21" s="102">
        <f>I21+$N$25</f>
        <v>3.5000000000000003E-2</v>
      </c>
      <c r="K21" s="102">
        <f>J21+$N$25</f>
        <v>4.5000000000000005E-2</v>
      </c>
      <c r="L21" s="169">
        <f>K21+$N$25</f>
        <v>5.5000000000000007E-2</v>
      </c>
    </row>
    <row r="22" spans="3:15" x14ac:dyDescent="0.25">
      <c r="C22" s="29" t="s">
        <v>32</v>
      </c>
      <c r="D22" s="261">
        <f>D7</f>
        <v>0.20953999999999998</v>
      </c>
      <c r="F22" s="170">
        <v>0.01</v>
      </c>
      <c r="G22" s="60">
        <f t="dataTable" ref="G22:L27" dt2D="1" dtr="1" r1="D21" r2="D24" ca="1"/>
        <v>8.1306804467767876E-2</v>
      </c>
      <c r="H22" s="60">
        <v>8.1385850467767876E-2</v>
      </c>
      <c r="I22" s="60">
        <v>8.1464896467767875E-2</v>
      </c>
      <c r="J22" s="60">
        <v>8.1543942467767874E-2</v>
      </c>
      <c r="K22" s="60">
        <v>8.1622988467767874E-2</v>
      </c>
      <c r="L22" s="92">
        <v>8.1702034467767873E-2</v>
      </c>
    </row>
    <row r="23" spans="3:15" x14ac:dyDescent="0.25">
      <c r="C23" s="236" t="s">
        <v>306</v>
      </c>
      <c r="D23" s="257">
        <f>D21*(1-D22)</f>
        <v>2.4334755838641191E-2</v>
      </c>
      <c r="F23" s="171">
        <f>F22+$N$26</f>
        <v>2.5000000000000001E-2</v>
      </c>
      <c r="G23" s="60">
        <v>8.1366088967767883E-2</v>
      </c>
      <c r="H23" s="60">
        <v>8.1563703967767881E-2</v>
      </c>
      <c r="I23" s="60">
        <v>8.1761318967767879E-2</v>
      </c>
      <c r="J23" s="60">
        <v>8.1958933967767877E-2</v>
      </c>
      <c r="K23" s="60">
        <v>8.2156548967767876E-2</v>
      </c>
      <c r="L23" s="92">
        <v>8.2354163967767874E-2</v>
      </c>
    </row>
    <row r="24" spans="3:15" x14ac:dyDescent="0.25">
      <c r="C24" s="29" t="s">
        <v>307</v>
      </c>
      <c r="D24" s="261">
        <f>L14/(L15+L14)</f>
        <v>4.1566167740524906E-2</v>
      </c>
      <c r="F24" s="171">
        <f>F23+$N$26</f>
        <v>0.04</v>
      </c>
      <c r="G24" s="60">
        <v>8.1425373467767875E-2</v>
      </c>
      <c r="H24" s="60">
        <v>8.1741557467767872E-2</v>
      </c>
      <c r="I24" s="60">
        <v>8.2057741467767883E-2</v>
      </c>
      <c r="J24" s="60">
        <v>8.2373925467767881E-2</v>
      </c>
      <c r="K24" s="60">
        <v>8.2690109467767878E-2</v>
      </c>
      <c r="L24" s="92">
        <v>8.3006293467767875E-2</v>
      </c>
    </row>
    <row r="25" spans="3:15" x14ac:dyDescent="0.25">
      <c r="C25" s="29" t="s">
        <v>308</v>
      </c>
      <c r="D25" s="92">
        <f>D23*D24</f>
        <v>1.0115025431136776E-3</v>
      </c>
      <c r="F25" s="171">
        <f>F24+$N$26</f>
        <v>5.5E-2</v>
      </c>
      <c r="G25" s="60">
        <v>8.1484657967767882E-2</v>
      </c>
      <c r="H25" s="60">
        <v>8.1919410967767878E-2</v>
      </c>
      <c r="I25" s="60">
        <v>8.2354163967767874E-2</v>
      </c>
      <c r="J25" s="60">
        <v>8.2788916967767884E-2</v>
      </c>
      <c r="K25" s="60">
        <v>8.322366996776788E-2</v>
      </c>
      <c r="L25" s="92">
        <v>8.3658422967767876E-2</v>
      </c>
      <c r="N25" s="172">
        <v>0.01</v>
      </c>
      <c r="O25" s="1" t="s">
        <v>309</v>
      </c>
    </row>
    <row r="26" spans="3:15" x14ac:dyDescent="0.25">
      <c r="C26" s="29"/>
      <c r="D26" s="30"/>
      <c r="F26" s="171">
        <f>F25+$N$26</f>
        <v>7.0000000000000007E-2</v>
      </c>
      <c r="G26" s="60">
        <v>8.1543942467767874E-2</v>
      </c>
      <c r="H26" s="60">
        <v>8.2097264467767883E-2</v>
      </c>
      <c r="I26" s="60">
        <v>8.2650586467767878E-2</v>
      </c>
      <c r="J26" s="60">
        <v>8.3203908467767873E-2</v>
      </c>
      <c r="K26" s="60">
        <v>8.3757230467767882E-2</v>
      </c>
      <c r="L26" s="92">
        <v>8.4310552467767877E-2</v>
      </c>
      <c r="N26" s="172">
        <v>1.4999999999999999E-2</v>
      </c>
      <c r="O26" s="1" t="s">
        <v>383</v>
      </c>
    </row>
    <row r="27" spans="3:15" x14ac:dyDescent="0.25">
      <c r="C27" s="163" t="s">
        <v>296</v>
      </c>
      <c r="D27" s="258">
        <f>D19+D25</f>
        <v>8.2278784010881553E-2</v>
      </c>
      <c r="F27" s="171">
        <f>F26+$N$26</f>
        <v>8.5000000000000006E-2</v>
      </c>
      <c r="G27" s="60">
        <v>8.1603226967767881E-2</v>
      </c>
      <c r="H27" s="60">
        <v>8.2275117967767875E-2</v>
      </c>
      <c r="I27" s="60">
        <v>8.2947008967767882E-2</v>
      </c>
      <c r="J27" s="60">
        <v>8.3618899967767876E-2</v>
      </c>
      <c r="K27" s="60">
        <v>8.429079096776787E-2</v>
      </c>
      <c r="L27" s="92">
        <v>8.4962681967767878E-2</v>
      </c>
      <c r="N27" s="172">
        <v>3.5000000000000003E-2</v>
      </c>
      <c r="O27" s="1" t="s">
        <v>384</v>
      </c>
    </row>
    <row r="28" spans="3:15" x14ac:dyDescent="0.25">
      <c r="F28" s="29"/>
      <c r="L28" s="30"/>
      <c r="N28" s="172">
        <v>0.01</v>
      </c>
      <c r="O28" s="1" t="s">
        <v>310</v>
      </c>
    </row>
    <row r="29" spans="3:15" x14ac:dyDescent="0.25">
      <c r="F29" s="164" t="s">
        <v>300</v>
      </c>
      <c r="G29" s="165"/>
      <c r="H29" s="165"/>
      <c r="I29" s="165"/>
      <c r="J29" s="165"/>
      <c r="K29" s="165"/>
      <c r="L29" s="173"/>
    </row>
    <row r="30" spans="3:15" x14ac:dyDescent="0.25">
      <c r="F30" s="167">
        <f>D27</f>
        <v>8.2278784010881553E-2</v>
      </c>
      <c r="G30" s="168">
        <v>0.06</v>
      </c>
      <c r="H30" s="102">
        <f>G30+$N$28</f>
        <v>6.9999999999999993E-2</v>
      </c>
      <c r="I30" s="102">
        <f>H30+$N$28</f>
        <v>7.9999999999999988E-2</v>
      </c>
      <c r="J30" s="102">
        <f>I30+$N$28</f>
        <v>8.9999999999999983E-2</v>
      </c>
      <c r="K30" s="102">
        <f>J30+$N$28</f>
        <v>9.9999999999999978E-2</v>
      </c>
      <c r="L30" s="169">
        <f>K30+$N$28</f>
        <v>0.10999999999999997</v>
      </c>
    </row>
    <row r="31" spans="3:15" x14ac:dyDescent="0.25">
      <c r="F31" s="174">
        <v>0.8</v>
      </c>
      <c r="G31" s="60">
        <f t="dataTable" ref="G31:L36" dt2D="1" dtr="1" r1="D17" r2="D18"/>
        <v>4.9011502543113677E-2</v>
      </c>
      <c r="H31" s="60">
        <v>5.7011502543113671E-2</v>
      </c>
      <c r="I31" s="60">
        <v>6.5011502543113664E-2</v>
      </c>
      <c r="J31" s="60">
        <v>7.3011502543113671E-2</v>
      </c>
      <c r="K31" s="60">
        <v>8.1011502543113664E-2</v>
      </c>
      <c r="L31" s="92">
        <v>8.9011502543113658E-2</v>
      </c>
    </row>
    <row r="32" spans="3:15" x14ac:dyDescent="0.25">
      <c r="F32" s="175">
        <f>F31+$N$27</f>
        <v>0.83500000000000008</v>
      </c>
      <c r="G32" s="60">
        <v>5.1111502543113682E-2</v>
      </c>
      <c r="H32" s="60">
        <v>5.9461502543113678E-2</v>
      </c>
      <c r="I32" s="60">
        <v>6.7811502543113675E-2</v>
      </c>
      <c r="J32" s="60">
        <v>7.6161502543113671E-2</v>
      </c>
      <c r="K32" s="60">
        <v>8.4511502543113667E-2</v>
      </c>
      <c r="L32" s="92">
        <v>9.2861502543113664E-2</v>
      </c>
    </row>
    <row r="33" spans="6:12" x14ac:dyDescent="0.25">
      <c r="F33" s="175">
        <f t="shared" ref="F33:F36" si="1">F32+$N$27</f>
        <v>0.87000000000000011</v>
      </c>
      <c r="G33" s="60">
        <v>5.321150254311368E-2</v>
      </c>
      <c r="H33" s="60">
        <v>6.1911502543113679E-2</v>
      </c>
      <c r="I33" s="60">
        <v>7.0611502543113672E-2</v>
      </c>
      <c r="J33" s="60">
        <v>7.9311502543113671E-2</v>
      </c>
      <c r="K33" s="60">
        <v>8.801150254311367E-2</v>
      </c>
      <c r="L33" s="92">
        <v>9.671150254311367E-2</v>
      </c>
    </row>
    <row r="34" spans="6:12" x14ac:dyDescent="0.25">
      <c r="F34" s="175">
        <f t="shared" si="1"/>
        <v>0.90500000000000014</v>
      </c>
      <c r="G34" s="60">
        <v>5.5311502543113684E-2</v>
      </c>
      <c r="H34" s="60">
        <v>6.436150254311368E-2</v>
      </c>
      <c r="I34" s="60">
        <v>7.3411502543113683E-2</v>
      </c>
      <c r="J34" s="60">
        <v>8.2461502543113671E-2</v>
      </c>
      <c r="K34" s="60">
        <v>9.1511502543113674E-2</v>
      </c>
      <c r="L34" s="92">
        <v>0.10056150254311366</v>
      </c>
    </row>
    <row r="35" spans="6:12" x14ac:dyDescent="0.25">
      <c r="F35" s="175">
        <f t="shared" si="1"/>
        <v>0.94000000000000017</v>
      </c>
      <c r="G35" s="60">
        <v>5.7411502543113682E-2</v>
      </c>
      <c r="H35" s="60">
        <v>6.6811502543113688E-2</v>
      </c>
      <c r="I35" s="60">
        <v>7.6211502543113679E-2</v>
      </c>
      <c r="J35" s="60">
        <v>8.5611502543113671E-2</v>
      </c>
      <c r="K35" s="60">
        <v>9.5011502543113677E-2</v>
      </c>
      <c r="L35" s="92">
        <v>0.10441150254311367</v>
      </c>
    </row>
    <row r="36" spans="6:12" x14ac:dyDescent="0.25">
      <c r="F36" s="175">
        <f t="shared" si="1"/>
        <v>0.9750000000000002</v>
      </c>
      <c r="G36" s="60">
        <v>5.9511502543113687E-2</v>
      </c>
      <c r="H36" s="60">
        <v>6.9261502543113682E-2</v>
      </c>
      <c r="I36" s="60">
        <v>7.9011502543113676E-2</v>
      </c>
      <c r="J36" s="60">
        <v>8.8761502543113671E-2</v>
      </c>
      <c r="K36" s="60">
        <v>9.851150254311368E-2</v>
      </c>
      <c r="L36" s="92">
        <v>0.10826150254311367</v>
      </c>
    </row>
    <row r="37" spans="6:12" x14ac:dyDescent="0.25">
      <c r="F37" s="31"/>
      <c r="G37" s="2"/>
      <c r="H37" s="2"/>
      <c r="I37" s="2"/>
      <c r="J37" s="2"/>
      <c r="K37" s="2"/>
      <c r="L37" s="32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6147-2603-4333-81BE-86F1EF076F27}">
  <dimension ref="B2:O83"/>
  <sheetViews>
    <sheetView showGridLines="0" workbookViewId="0">
      <selection activeCell="I6" sqref="I6"/>
    </sheetView>
  </sheetViews>
  <sheetFormatPr defaultRowHeight="15" x14ac:dyDescent="0.25"/>
  <cols>
    <col min="1" max="2" width="2.140625" customWidth="1"/>
    <col min="3" max="3" width="68.28515625" customWidth="1"/>
    <col min="4" max="11" width="15.140625" customWidth="1"/>
  </cols>
  <sheetData>
    <row r="2" spans="2:15" ht="19.5" x14ac:dyDescent="0.3">
      <c r="C2" s="211" t="s">
        <v>3</v>
      </c>
      <c r="D2" s="212"/>
      <c r="E2" s="212"/>
      <c r="F2" s="212"/>
      <c r="G2" s="212"/>
      <c r="H2" s="212"/>
      <c r="I2" s="213"/>
      <c r="J2" s="1"/>
      <c r="K2" s="1"/>
      <c r="L2" s="1"/>
      <c r="M2" s="1"/>
      <c r="N2" s="1"/>
      <c r="O2" s="1"/>
    </row>
    <row r="3" spans="2:15" x14ac:dyDescent="0.25">
      <c r="C3" s="214" t="s">
        <v>1</v>
      </c>
      <c r="D3" s="215"/>
      <c r="E3" s="215"/>
      <c r="F3" s="215"/>
      <c r="G3" s="215"/>
      <c r="H3" s="215"/>
      <c r="I3" s="216"/>
    </row>
    <row r="4" spans="2:15" x14ac:dyDescent="0.25">
      <c r="C4" s="194"/>
      <c r="D4" s="195"/>
      <c r="E4" s="195"/>
      <c r="F4" s="195"/>
      <c r="G4" s="195"/>
      <c r="H4" s="195"/>
      <c r="I4" s="195"/>
    </row>
    <row r="5" spans="2:15" x14ac:dyDescent="0.25">
      <c r="C5" s="20" t="s">
        <v>375</v>
      </c>
      <c r="D5" s="217">
        <f>Financials!D6</f>
        <v>45747</v>
      </c>
      <c r="E5" s="195"/>
      <c r="F5" s="194" t="s">
        <v>365</v>
      </c>
      <c r="H5" s="208">
        <f>WACC!D27</f>
        <v>8.2278784010881553E-2</v>
      </c>
      <c r="I5" s="195"/>
    </row>
    <row r="6" spans="2:15" x14ac:dyDescent="0.25">
      <c r="C6" s="20" t="s">
        <v>376</v>
      </c>
      <c r="D6" s="218">
        <f>E12</f>
        <v>46112</v>
      </c>
      <c r="E6" s="195"/>
      <c r="F6" s="196" t="s">
        <v>366</v>
      </c>
      <c r="H6" s="342">
        <v>1</v>
      </c>
      <c r="I6" s="195"/>
    </row>
    <row r="7" spans="2:15" x14ac:dyDescent="0.25">
      <c r="C7" s="20" t="s">
        <v>377</v>
      </c>
      <c r="D7" s="217">
        <f>LBO!D10</f>
        <v>45925</v>
      </c>
      <c r="E7" s="195"/>
      <c r="F7" s="195"/>
      <c r="G7" s="195"/>
      <c r="H7" s="195"/>
      <c r="I7" s="195"/>
    </row>
    <row r="8" spans="2:15" x14ac:dyDescent="0.25">
      <c r="C8" s="20" t="s">
        <v>378</v>
      </c>
      <c r="D8" s="219">
        <f>LBO!D9</f>
        <v>168.32</v>
      </c>
      <c r="E8" s="195"/>
      <c r="F8" s="195"/>
      <c r="G8" s="195"/>
      <c r="H8" s="195"/>
      <c r="I8" s="195"/>
    </row>
    <row r="9" spans="2:15" x14ac:dyDescent="0.25">
      <c r="C9" s="20" t="s">
        <v>379</v>
      </c>
      <c r="D9" s="220">
        <f>YEARFRAC(D7,D6)</f>
        <v>0.51666666666666672</v>
      </c>
      <c r="E9" s="195"/>
      <c r="F9" s="195"/>
      <c r="G9" s="195"/>
      <c r="H9" s="195"/>
      <c r="I9" s="195"/>
    </row>
    <row r="10" spans="2:15" x14ac:dyDescent="0.25">
      <c r="C10" s="194"/>
      <c r="D10" s="195"/>
      <c r="E10" s="195"/>
      <c r="F10" s="195"/>
      <c r="G10" s="195"/>
      <c r="H10" s="195"/>
      <c r="I10" s="195"/>
    </row>
    <row r="11" spans="2:15" x14ac:dyDescent="0.25">
      <c r="B11" s="198" t="s">
        <v>72</v>
      </c>
      <c r="C11" s="221" t="s">
        <v>5</v>
      </c>
      <c r="D11" s="222"/>
      <c r="E11" s="223">
        <v>2026</v>
      </c>
      <c r="F11" s="223">
        <v>2027</v>
      </c>
      <c r="G11" s="223">
        <v>2028</v>
      </c>
      <c r="H11" s="223">
        <v>2029</v>
      </c>
      <c r="I11" s="223">
        <v>2030</v>
      </c>
      <c r="J11" s="198"/>
    </row>
    <row r="12" spans="2:15" x14ac:dyDescent="0.25">
      <c r="B12" s="198"/>
      <c r="C12" s="224" t="s">
        <v>6</v>
      </c>
      <c r="D12" s="225"/>
      <c r="E12" s="225">
        <v>46112</v>
      </c>
      <c r="F12" s="225">
        <f>EOMONTH(E12,12)</f>
        <v>46477</v>
      </c>
      <c r="G12" s="225">
        <f>EOMONTH(F12,12)</f>
        <v>46843</v>
      </c>
      <c r="H12" s="225">
        <f>EOMONTH(G12,12)</f>
        <v>47208</v>
      </c>
      <c r="I12" s="225">
        <f>EOMONTH(H12,12)</f>
        <v>47573</v>
      </c>
      <c r="J12" s="198"/>
    </row>
    <row r="14" spans="2:15" x14ac:dyDescent="0.25">
      <c r="C14" t="s">
        <v>7</v>
      </c>
      <c r="E14" s="44">
        <f>Financials!G13</f>
        <v>8092.11</v>
      </c>
      <c r="F14" s="44">
        <f>Financials!H13</f>
        <v>8412.18</v>
      </c>
      <c r="G14" s="44">
        <f>Financials!I13</f>
        <v>8872.86</v>
      </c>
      <c r="H14" s="44">
        <f>Financials!J13</f>
        <v>9809.67</v>
      </c>
      <c r="I14" s="44">
        <f>Financials!K13</f>
        <v>10448</v>
      </c>
    </row>
    <row r="15" spans="2:15" x14ac:dyDescent="0.25">
      <c r="C15" s="4" t="s">
        <v>8</v>
      </c>
      <c r="D15" s="4"/>
      <c r="E15" s="88">
        <f>Financials!G14</f>
        <v>-1818.5621895224122</v>
      </c>
      <c r="F15" s="88">
        <f>Financials!H14</f>
        <v>-1890.4924030267321</v>
      </c>
      <c r="G15" s="88">
        <f>Financials!I14</f>
        <v>-1994.0222894802264</v>
      </c>
      <c r="H15" s="88">
        <f>Financials!J14</f>
        <v>-2204.5541834814803</v>
      </c>
      <c r="I15" s="88">
        <f>Financials!K14</f>
        <v>-2348.0078442001113</v>
      </c>
    </row>
    <row r="16" spans="2:15" x14ac:dyDescent="0.25">
      <c r="C16" s="3" t="s">
        <v>9</v>
      </c>
      <c r="E16" s="8">
        <f>SUM(E14:E15)</f>
        <v>6273.5478104775875</v>
      </c>
      <c r="F16" s="8">
        <f t="shared" ref="F16:I16" si="0">SUM(F14:F15)</f>
        <v>6521.6875969732682</v>
      </c>
      <c r="G16" s="8">
        <f t="shared" si="0"/>
        <v>6878.8377105197742</v>
      </c>
      <c r="H16" s="8">
        <f t="shared" si="0"/>
        <v>7605.1158165185198</v>
      </c>
      <c r="I16" s="8">
        <f t="shared" si="0"/>
        <v>8099.9921557998887</v>
      </c>
    </row>
    <row r="17" spans="3:9" x14ac:dyDescent="0.25">
      <c r="E17" s="6"/>
      <c r="F17" s="6"/>
      <c r="G17" s="6"/>
      <c r="H17" s="6"/>
      <c r="I17" s="6"/>
    </row>
    <row r="18" spans="3:9" x14ac:dyDescent="0.25">
      <c r="C18" t="s">
        <v>10</v>
      </c>
      <c r="E18" s="44">
        <f>Financials!G17</f>
        <v>-2637.3422773892876</v>
      </c>
      <c r="F18" s="44">
        <f>Financials!H17</f>
        <v>-2741.6579803053369</v>
      </c>
      <c r="G18" s="44">
        <f>Financials!I17</f>
        <v>-2891.8006304111432</v>
      </c>
      <c r="H18" s="44">
        <f>Financials!J17</f>
        <v>-3197.1213216623814</v>
      </c>
      <c r="I18" s="44">
        <f>Financials!K17</f>
        <v>-3405.1628208419406</v>
      </c>
    </row>
    <row r="19" spans="3:9" x14ac:dyDescent="0.25">
      <c r="C19" t="s">
        <v>11</v>
      </c>
      <c r="E19" s="44">
        <f>Financials!G18</f>
        <v>-1066.4179919282021</v>
      </c>
      <c r="F19" s="44">
        <f>Financials!H18</f>
        <v>-1108.5983882248984</v>
      </c>
      <c r="G19" s="44">
        <f>Financials!I18</f>
        <v>-1169.3090607839076</v>
      </c>
      <c r="H19" s="44">
        <f>Financials!J18</f>
        <v>-1292.7664827688113</v>
      </c>
      <c r="I19" s="44">
        <f>Financials!K18</f>
        <v>-1376.888744674239</v>
      </c>
    </row>
    <row r="20" spans="3:9" x14ac:dyDescent="0.25">
      <c r="C20" t="s">
        <v>12</v>
      </c>
      <c r="E20" s="44">
        <f>Financials!G19</f>
        <v>-779.81781975927697</v>
      </c>
      <c r="F20" s="44">
        <f>Financials!H19</f>
        <v>-810.66222122815873</v>
      </c>
      <c r="G20" s="44">
        <f>Financials!I19</f>
        <v>-855.05688136089339</v>
      </c>
      <c r="H20" s="44">
        <f>Financials!J19</f>
        <v>-945.33508219215844</v>
      </c>
      <c r="I20" s="44">
        <f>Financials!K19</f>
        <v>-1006.8494596396894</v>
      </c>
    </row>
    <row r="21" spans="3:9" x14ac:dyDescent="0.25">
      <c r="C21" t="s">
        <v>13</v>
      </c>
      <c r="E21" s="44">
        <f>Financials!G20</f>
        <v>-72.647912367680561</v>
      </c>
      <c r="F21" s="44">
        <f>Financials!H20</f>
        <v>-75.521380142034047</v>
      </c>
      <c r="G21" s="44">
        <f>Financials!I20</f>
        <v>-79.657191477957937</v>
      </c>
      <c r="H21" s="44">
        <f>Financials!J20</f>
        <v>-88.067518424226179</v>
      </c>
      <c r="I21" s="44">
        <f>Financials!K20</f>
        <v>-93.798204475412035</v>
      </c>
    </row>
    <row r="22" spans="3:9" x14ac:dyDescent="0.25">
      <c r="C22" t="s">
        <v>113</v>
      </c>
      <c r="E22" s="44">
        <f>Financials!G21</f>
        <v>-38.090000000000003</v>
      </c>
      <c r="F22" s="44">
        <f>Financials!H21</f>
        <v>-38.090000000000003</v>
      </c>
      <c r="G22" s="44">
        <f>Financials!I21</f>
        <v>-38.090000000000003</v>
      </c>
      <c r="H22" s="44">
        <f>Financials!J21</f>
        <v>-38.090000000000003</v>
      </c>
      <c r="I22" s="44">
        <f>Financials!K21</f>
        <v>-38.090000000000003</v>
      </c>
    </row>
    <row r="23" spans="3:9" x14ac:dyDescent="0.25">
      <c r="C23" s="4" t="s">
        <v>14</v>
      </c>
      <c r="D23" s="4"/>
      <c r="E23" s="88">
        <f>Financials!G22</f>
        <v>-57</v>
      </c>
      <c r="F23" s="88">
        <f>Financials!H22</f>
        <v>-57</v>
      </c>
      <c r="G23" s="88">
        <f>Financials!I22</f>
        <v>-57</v>
      </c>
      <c r="H23" s="88">
        <f>Financials!J22</f>
        <v>-57</v>
      </c>
      <c r="I23" s="88">
        <f>Financials!K22</f>
        <v>-57</v>
      </c>
    </row>
    <row r="24" spans="3:9" x14ac:dyDescent="0.25">
      <c r="C24" s="3" t="s">
        <v>15</v>
      </c>
      <c r="E24" s="8">
        <f>E16+SUM(E18:E23)</f>
        <v>1622.2318090331401</v>
      </c>
      <c r="F24" s="8">
        <f t="shared" ref="F24:I24" si="1">F16+SUM(F18:F23)</f>
        <v>1690.1576270728401</v>
      </c>
      <c r="G24" s="8">
        <f t="shared" si="1"/>
        <v>1787.923946485872</v>
      </c>
      <c r="H24" s="8">
        <f t="shared" si="1"/>
        <v>1986.7354114709415</v>
      </c>
      <c r="I24" s="8">
        <f t="shared" si="1"/>
        <v>2122.2029261686075</v>
      </c>
    </row>
    <row r="25" spans="3:9" x14ac:dyDescent="0.25">
      <c r="C25" s="181" t="s">
        <v>325</v>
      </c>
      <c r="D25" s="4"/>
      <c r="E25" s="7">
        <f>E24*-Financials!G48</f>
        <v>-484.28934930275989</v>
      </c>
      <c r="F25" s="7">
        <f>F24*-Financials!H48</f>
        <v>-504.56743165580542</v>
      </c>
      <c r="G25" s="7">
        <f>G24*-Financials!I48</f>
        <v>-533.75388142742111</v>
      </c>
      <c r="H25" s="7">
        <f>H24*-Financials!J48</f>
        <v>-593.10561801365691</v>
      </c>
      <c r="I25" s="7">
        <f>I24*-Financials!K48</f>
        <v>-633.54710990111778</v>
      </c>
    </row>
    <row r="26" spans="3:9" x14ac:dyDescent="0.25">
      <c r="C26" s="182" t="s">
        <v>326</v>
      </c>
      <c r="E26" s="8">
        <f>SUM(E24:E25)</f>
        <v>1137.9424597303801</v>
      </c>
      <c r="F26" s="8">
        <f t="shared" ref="F26:I26" si="2">SUM(F24:F25)</f>
        <v>1185.5901954170347</v>
      </c>
      <c r="G26" s="8">
        <f t="shared" si="2"/>
        <v>1254.1700650584507</v>
      </c>
      <c r="H26" s="8">
        <f t="shared" si="2"/>
        <v>1393.6297934572844</v>
      </c>
      <c r="I26" s="8">
        <f t="shared" si="2"/>
        <v>1488.6558162674896</v>
      </c>
    </row>
    <row r="27" spans="3:9" x14ac:dyDescent="0.25">
      <c r="E27" s="6"/>
      <c r="F27" s="6"/>
      <c r="G27" s="6"/>
      <c r="H27" s="6"/>
      <c r="I27" s="6"/>
    </row>
    <row r="28" spans="3:9" x14ac:dyDescent="0.25">
      <c r="C28" s="3" t="s">
        <v>327</v>
      </c>
      <c r="E28" s="6"/>
      <c r="F28" s="6"/>
      <c r="G28" s="6"/>
      <c r="H28" s="6"/>
      <c r="I28" s="6"/>
    </row>
    <row r="29" spans="3:9" x14ac:dyDescent="0.25">
      <c r="C29" t="s">
        <v>53</v>
      </c>
      <c r="E29" s="44">
        <f>Financials!G85</f>
        <v>320.17384858635944</v>
      </c>
      <c r="F29" s="44">
        <f>Financials!H85</f>
        <v>293.02888355889058</v>
      </c>
      <c r="G29" s="44">
        <f>Financials!I85</f>
        <v>301.81066300415387</v>
      </c>
      <c r="H29" s="44">
        <f>Financials!J85</f>
        <v>339.57686329894148</v>
      </c>
      <c r="I29" s="44">
        <f>Financials!K85</f>
        <v>389.94092483987674</v>
      </c>
    </row>
    <row r="30" spans="3:9" x14ac:dyDescent="0.25">
      <c r="C30" t="s">
        <v>113</v>
      </c>
      <c r="E30" s="44">
        <f>Financials!G36</f>
        <v>38.090000000000003</v>
      </c>
      <c r="F30" s="44">
        <f>Financials!H36</f>
        <v>38.090000000000003</v>
      </c>
      <c r="G30" s="44">
        <f>Financials!I36</f>
        <v>38.090000000000003</v>
      </c>
      <c r="H30" s="44">
        <f>Financials!J36</f>
        <v>38.090000000000003</v>
      </c>
      <c r="I30" s="44">
        <f>Financials!K36</f>
        <v>38.090000000000003</v>
      </c>
    </row>
    <row r="31" spans="3:9" x14ac:dyDescent="0.25">
      <c r="E31" s="6"/>
      <c r="F31" s="6"/>
      <c r="G31" s="6"/>
      <c r="H31" s="6"/>
      <c r="I31" s="6"/>
    </row>
    <row r="32" spans="3:9" x14ac:dyDescent="0.25">
      <c r="C32" s="3" t="s">
        <v>328</v>
      </c>
      <c r="E32" s="6"/>
      <c r="F32" s="6"/>
      <c r="G32" s="6"/>
      <c r="H32" s="6"/>
      <c r="I32" s="6"/>
    </row>
    <row r="33" spans="2:10" x14ac:dyDescent="0.25">
      <c r="C33" t="s">
        <v>329</v>
      </c>
      <c r="E33" s="44">
        <f>Financials!G88</f>
        <v>-57.237798472464192</v>
      </c>
      <c r="F33" s="44">
        <f>Financials!H88</f>
        <v>-29.120665952030095</v>
      </c>
      <c r="G33" s="44">
        <f>Financials!I88</f>
        <v>-41.913670105855545</v>
      </c>
      <c r="H33" s="44">
        <f>Financials!J88</f>
        <v>-85.233014873375168</v>
      </c>
      <c r="I33" s="44">
        <f>Financials!K88</f>
        <v>-58.076654160525209</v>
      </c>
    </row>
    <row r="34" spans="2:10" x14ac:dyDescent="0.25">
      <c r="C34" t="s">
        <v>330</v>
      </c>
      <c r="E34" s="44">
        <f>Financials!G89</f>
        <v>-29.419722631649449</v>
      </c>
      <c r="F34" s="44">
        <f>Financials!H89</f>
        <v>-14.967764973871112</v>
      </c>
      <c r="G34" s="44">
        <f>Financials!I89</f>
        <v>-21.543256063245337</v>
      </c>
      <c r="H34" s="44">
        <f>Financials!J89</f>
        <v>-43.809016481307708</v>
      </c>
      <c r="I34" s="44">
        <f>Financials!K89</f>
        <v>-29.850887042744205</v>
      </c>
    </row>
    <row r="35" spans="2:10" x14ac:dyDescent="0.25">
      <c r="C35" t="s">
        <v>331</v>
      </c>
      <c r="E35" s="44">
        <f>Financials!G90</f>
        <v>242.70188954047853</v>
      </c>
      <c r="F35" s="44">
        <f>Financials!H90</f>
        <v>63.352663741005017</v>
      </c>
      <c r="G35" s="44">
        <f>Financials!I90</f>
        <v>91.184132009266705</v>
      </c>
      <c r="H35" s="44">
        <f>Financials!J90</f>
        <v>185.42634086046905</v>
      </c>
      <c r="I35" s="44">
        <f>Financials!K90</f>
        <v>126.34706734712859</v>
      </c>
    </row>
    <row r="36" spans="2:10" x14ac:dyDescent="0.25">
      <c r="C36" t="s">
        <v>332</v>
      </c>
      <c r="E36" s="44">
        <f>Financials!G92</f>
        <v>143.30523917995447</v>
      </c>
      <c r="F36" s="44">
        <f>Financials!H92</f>
        <v>72.908883826879446</v>
      </c>
      <c r="G36" s="44">
        <f>Financials!I92</f>
        <v>104.93849658314366</v>
      </c>
      <c r="H36" s="44">
        <f>Financials!J92</f>
        <v>213.39635535307502</v>
      </c>
      <c r="I36" s="44">
        <f>Financials!K92</f>
        <v>145.40546697038735</v>
      </c>
    </row>
    <row r="37" spans="2:10" x14ac:dyDescent="0.25">
      <c r="E37" s="6"/>
      <c r="F37" s="6"/>
      <c r="G37" s="6"/>
      <c r="H37" s="6"/>
      <c r="I37" s="6"/>
    </row>
    <row r="38" spans="2:10" x14ac:dyDescent="0.25">
      <c r="C38" s="3" t="s">
        <v>333</v>
      </c>
      <c r="E38" s="6"/>
      <c r="F38" s="6"/>
      <c r="G38" s="6"/>
      <c r="H38" s="6"/>
      <c r="I38" s="6"/>
    </row>
    <row r="39" spans="2:10" x14ac:dyDescent="0.25">
      <c r="C39" s="183" t="s">
        <v>333</v>
      </c>
      <c r="D39" s="4"/>
      <c r="E39" s="88">
        <f>Financials!G98</f>
        <v>-239.62968109339408</v>
      </c>
      <c r="F39" s="88">
        <f>Financials!H98</f>
        <v>-249.10783599088842</v>
      </c>
      <c r="G39" s="88">
        <f>Financials!I98</f>
        <v>-262.7498405466971</v>
      </c>
      <c r="H39" s="88">
        <f>Financials!J98</f>
        <v>-290.49136674259682</v>
      </c>
      <c r="I39" s="88">
        <f>Financials!K98</f>
        <v>-309.39407744874717</v>
      </c>
    </row>
    <row r="40" spans="2:10" x14ac:dyDescent="0.25">
      <c r="C40" s="182" t="s">
        <v>334</v>
      </c>
      <c r="E40" s="8">
        <f>E26+SUM(E29:E39)</f>
        <v>1555.9262348396649</v>
      </c>
      <c r="F40" s="8">
        <f t="shared" ref="F40:I40" si="3">F26+SUM(F29:F39)</f>
        <v>1359.7743596270202</v>
      </c>
      <c r="G40" s="8">
        <f t="shared" si="3"/>
        <v>1463.9865899392171</v>
      </c>
      <c r="H40" s="8">
        <f t="shared" si="3"/>
        <v>1750.5859548724902</v>
      </c>
      <c r="I40" s="8">
        <f t="shared" si="3"/>
        <v>1791.1176567728658</v>
      </c>
    </row>
    <row r="42" spans="2:10" x14ac:dyDescent="0.25">
      <c r="B42" s="198"/>
      <c r="C42" s="221" t="s">
        <v>5</v>
      </c>
      <c r="D42" s="226" t="s">
        <v>380</v>
      </c>
      <c r="E42" s="227">
        <v>1</v>
      </c>
      <c r="F42" s="227">
        <v>2</v>
      </c>
      <c r="G42" s="227">
        <v>3</v>
      </c>
      <c r="H42" s="227">
        <v>4</v>
      </c>
      <c r="I42" s="227">
        <v>5</v>
      </c>
      <c r="J42" s="198"/>
    </row>
    <row r="43" spans="2:10" x14ac:dyDescent="0.25">
      <c r="B43" s="198"/>
      <c r="C43" s="224" t="s">
        <v>6</v>
      </c>
      <c r="D43" s="225">
        <f>D7</f>
        <v>45925</v>
      </c>
      <c r="E43" s="225">
        <f>IF($H$6=0,E12,AVERAGE(D43,E12))</f>
        <v>46018.5</v>
      </c>
      <c r="F43" s="225">
        <f>IF($H$6=0,F12,AVERAGE(F12,E12))</f>
        <v>46294.5</v>
      </c>
      <c r="G43" s="225">
        <f t="shared" ref="G43:I43" si="4">IF($H$6=0,G12,AVERAGE(G12,F12))</f>
        <v>46660</v>
      </c>
      <c r="H43" s="225">
        <f t="shared" si="4"/>
        <v>47025.5</v>
      </c>
      <c r="I43" s="225">
        <f t="shared" si="4"/>
        <v>47390.5</v>
      </c>
      <c r="J43" s="198"/>
    </row>
    <row r="45" spans="2:10" x14ac:dyDescent="0.25">
      <c r="C45" s="184" t="s">
        <v>381</v>
      </c>
      <c r="E45" s="6">
        <f>E40*D9</f>
        <v>803.89522133382695</v>
      </c>
      <c r="F45" s="6">
        <f>F40</f>
        <v>1359.7743596270202</v>
      </c>
      <c r="G45" s="6">
        <f t="shared" ref="G45:I45" si="5">G40</f>
        <v>1463.9865899392171</v>
      </c>
      <c r="H45" s="6">
        <f t="shared" si="5"/>
        <v>1750.5859548724902</v>
      </c>
      <c r="I45" s="6">
        <f t="shared" si="5"/>
        <v>1791.1176567728658</v>
      </c>
    </row>
    <row r="46" spans="2:10" x14ac:dyDescent="0.25">
      <c r="C46" s="184" t="s">
        <v>335</v>
      </c>
      <c r="E46" s="207">
        <f>1/(1+$H$5)^((E43-$D$43)/365)</f>
        <v>0.97994913542516615</v>
      </c>
      <c r="F46" s="207">
        <f t="shared" ref="F46:I46" si="6">1/(1+$H$5)^((F43-$D$43)/365)</f>
        <v>0.92307607695758442</v>
      </c>
      <c r="G46" s="207">
        <f t="shared" si="6"/>
        <v>0.85280808833384403</v>
      </c>
      <c r="H46" s="207">
        <f t="shared" si="6"/>
        <v>0.78788916069053783</v>
      </c>
      <c r="I46" s="207">
        <f t="shared" si="6"/>
        <v>0.72799095051152374</v>
      </c>
    </row>
    <row r="47" spans="2:10" x14ac:dyDescent="0.25">
      <c r="C47" s="182" t="s">
        <v>336</v>
      </c>
      <c r="D47" s="3"/>
      <c r="E47" s="8">
        <f>E45*E46</f>
        <v>787.77642711850626</v>
      </c>
      <c r="F47" s="8">
        <f t="shared" ref="F47:I47" si="7">F45*F46</f>
        <v>1255.1751814320214</v>
      </c>
      <c r="G47" s="8">
        <f t="shared" si="7"/>
        <v>1248.4996051124469</v>
      </c>
      <c r="H47" s="8">
        <f t="shared" si="7"/>
        <v>1379.26769870113</v>
      </c>
      <c r="I47" s="8">
        <f t="shared" si="7"/>
        <v>1303.9174454320516</v>
      </c>
    </row>
    <row r="50" spans="2:10" x14ac:dyDescent="0.25">
      <c r="B50" t="s">
        <v>72</v>
      </c>
      <c r="C50" s="228" t="s">
        <v>337</v>
      </c>
      <c r="D50" s="229"/>
      <c r="F50" s="228" t="s">
        <v>176</v>
      </c>
      <c r="G50" s="231"/>
      <c r="H50" s="231"/>
      <c r="I50" s="231"/>
      <c r="J50" s="29"/>
    </row>
    <row r="51" spans="2:10" x14ac:dyDescent="0.25">
      <c r="C51" s="56" t="s">
        <v>340</v>
      </c>
      <c r="D51" s="186">
        <v>3.5000000000000003E-2</v>
      </c>
      <c r="E51" s="1"/>
      <c r="F51" s="188" t="s">
        <v>342</v>
      </c>
      <c r="G51" s="57"/>
      <c r="H51" s="57"/>
      <c r="I51" s="57"/>
      <c r="J51" s="29"/>
    </row>
    <row r="52" spans="2:10" x14ac:dyDescent="0.25">
      <c r="C52" s="29" t="s">
        <v>382</v>
      </c>
      <c r="D52" s="36">
        <f>I40*(1+D51)</f>
        <v>1853.8067747599159</v>
      </c>
      <c r="E52" s="1"/>
      <c r="F52" s="29" t="s">
        <v>225</v>
      </c>
      <c r="G52" s="195"/>
      <c r="H52" s="195"/>
      <c r="I52" s="202">
        <f>Financials!F67</f>
        <v>1884</v>
      </c>
      <c r="J52" s="29"/>
    </row>
    <row r="53" spans="2:10" x14ac:dyDescent="0.25">
      <c r="C53" s="29" t="s">
        <v>346</v>
      </c>
      <c r="D53" s="36">
        <f>D52/(H5-D51)</f>
        <v>39210.119582035972</v>
      </c>
      <c r="E53" s="1"/>
      <c r="F53" s="29" t="s">
        <v>347</v>
      </c>
      <c r="G53" s="195"/>
      <c r="H53" s="195"/>
      <c r="I53" s="206">
        <v>0</v>
      </c>
      <c r="J53" s="29"/>
    </row>
    <row r="54" spans="2:10" x14ac:dyDescent="0.25">
      <c r="C54" s="29" t="s">
        <v>349</v>
      </c>
      <c r="D54" s="36">
        <f>D53/(1+H5)^((I43-D43)/365)</f>
        <v>28544.612224196877</v>
      </c>
      <c r="E54" s="1"/>
      <c r="F54" s="29" t="s">
        <v>181</v>
      </c>
      <c r="G54" s="195"/>
      <c r="H54" s="195"/>
      <c r="I54" s="206">
        <v>0</v>
      </c>
      <c r="J54" s="29"/>
    </row>
    <row r="55" spans="2:10" x14ac:dyDescent="0.25">
      <c r="C55" s="29" t="s">
        <v>351</v>
      </c>
      <c r="D55" s="36">
        <f>SUM(E47:I47)</f>
        <v>5974.6363577961565</v>
      </c>
      <c r="E55" s="1"/>
      <c r="F55" s="29" t="s">
        <v>352</v>
      </c>
      <c r="G55" s="195"/>
      <c r="H55" s="195"/>
      <c r="I55" s="206">
        <v>0</v>
      </c>
      <c r="J55" s="29"/>
    </row>
    <row r="56" spans="2:10" x14ac:dyDescent="0.25">
      <c r="C56" s="247" t="s">
        <v>354</v>
      </c>
      <c r="D56" s="248">
        <f>D54+D55</f>
        <v>34519.24858199303</v>
      </c>
      <c r="E56" s="1"/>
      <c r="F56" s="29" t="s">
        <v>355</v>
      </c>
      <c r="G56" s="195"/>
      <c r="H56" s="195"/>
      <c r="I56" s="206">
        <v>0</v>
      </c>
      <c r="J56" s="29"/>
    </row>
    <row r="57" spans="2:10" x14ac:dyDescent="0.25">
      <c r="C57" s="29"/>
      <c r="D57" s="30"/>
      <c r="E57" s="1"/>
      <c r="F57" s="42" t="s">
        <v>357</v>
      </c>
      <c r="G57" s="195"/>
      <c r="H57" s="195"/>
      <c r="I57" s="205"/>
      <c r="J57" s="29"/>
    </row>
    <row r="58" spans="2:10" x14ac:dyDescent="0.25">
      <c r="C58" s="190" t="s">
        <v>358</v>
      </c>
      <c r="D58" s="191">
        <f>D54/D56</f>
        <v>0.82691870179025795</v>
      </c>
      <c r="E58" s="1"/>
      <c r="F58" s="29" t="s">
        <v>359</v>
      </c>
      <c r="G58" s="195"/>
      <c r="H58" s="195"/>
      <c r="I58" s="202">
        <f>-Financials!F55</f>
        <v>-2248</v>
      </c>
      <c r="J58" s="29"/>
    </row>
    <row r="59" spans="2:10" x14ac:dyDescent="0.25">
      <c r="C59" s="190" t="s">
        <v>361</v>
      </c>
      <c r="D59" s="191">
        <f>D55/D56</f>
        <v>0.17308129820974222</v>
      </c>
      <c r="E59" s="1"/>
      <c r="F59" s="29"/>
      <c r="G59" s="195"/>
      <c r="H59" s="195"/>
      <c r="I59" s="205"/>
      <c r="J59" s="29"/>
    </row>
    <row r="60" spans="2:10" x14ac:dyDescent="0.25">
      <c r="C60" s="106" t="s">
        <v>362</v>
      </c>
      <c r="D60" s="192">
        <f>D53/Financials!K38</f>
        <v>11.18366612015507</v>
      </c>
      <c r="E60" s="1"/>
      <c r="F60" s="249" t="s">
        <v>176</v>
      </c>
      <c r="G60" s="250"/>
      <c r="H60" s="250"/>
      <c r="I60" s="297">
        <f>SUM(I58,I52:I56)</f>
        <v>-364</v>
      </c>
      <c r="J60" s="29"/>
    </row>
    <row r="62" spans="2:10" x14ac:dyDescent="0.25">
      <c r="C62" s="228" t="s">
        <v>338</v>
      </c>
      <c r="D62" s="230"/>
      <c r="F62" s="232" t="s">
        <v>339</v>
      </c>
      <c r="G62" s="212"/>
      <c r="H62" s="212"/>
      <c r="I62" s="213"/>
    </row>
    <row r="63" spans="2:10" x14ac:dyDescent="0.25">
      <c r="C63" s="56" t="s">
        <v>341</v>
      </c>
      <c r="D63" s="187">
        <f>Financials!K38</f>
        <v>3506.0166461310891</v>
      </c>
      <c r="F63" s="56" t="s">
        <v>343</v>
      </c>
      <c r="G63" s="57"/>
      <c r="H63" s="57"/>
      <c r="I63" s="187">
        <f>Financials!D7</f>
        <v>250.253713</v>
      </c>
    </row>
    <row r="64" spans="2:10" x14ac:dyDescent="0.25">
      <c r="C64" s="29" t="s">
        <v>344</v>
      </c>
      <c r="D64" s="189">
        <f>LBO!D16</f>
        <v>31.5</v>
      </c>
      <c r="F64" s="29" t="s">
        <v>345</v>
      </c>
      <c r="G64" s="1"/>
      <c r="H64" s="1"/>
      <c r="I64" s="200">
        <v>7.8319999999999999</v>
      </c>
      <c r="J64" s="72"/>
    </row>
    <row r="65" spans="2:10" x14ac:dyDescent="0.25">
      <c r="C65" s="29" t="s">
        <v>346</v>
      </c>
      <c r="D65" s="36">
        <f>D63*D64</f>
        <v>110439.52435312931</v>
      </c>
      <c r="F65" s="29" t="s">
        <v>348</v>
      </c>
      <c r="G65" s="1"/>
      <c r="H65" s="1"/>
      <c r="I65" s="201">
        <v>3.0000000000000001E-3</v>
      </c>
      <c r="J65" s="72"/>
    </row>
    <row r="66" spans="2:10" x14ac:dyDescent="0.25">
      <c r="C66" s="29" t="s">
        <v>349</v>
      </c>
      <c r="D66" s="36">
        <f>D65/(1+H5)^((I43-D43)/365)</f>
        <v>80398.974307875178</v>
      </c>
      <c r="F66" s="29" t="s">
        <v>350</v>
      </c>
      <c r="G66" s="1"/>
      <c r="H66" s="1"/>
      <c r="I66" s="201">
        <f>I65*56.22</f>
        <v>0.16866</v>
      </c>
      <c r="J66" s="72"/>
    </row>
    <row r="67" spans="2:10" x14ac:dyDescent="0.25">
      <c r="C67" s="29" t="s">
        <v>351</v>
      </c>
      <c r="D67" s="36">
        <f>SUM(E47:I47)</f>
        <v>5974.6363577961565</v>
      </c>
      <c r="F67" s="29" t="s">
        <v>353</v>
      </c>
      <c r="G67" s="1"/>
      <c r="H67" s="1"/>
      <c r="I67" s="199">
        <f>I66/LBO!D9</f>
        <v>1.0020199619771863E-3</v>
      </c>
    </row>
    <row r="68" spans="2:10" x14ac:dyDescent="0.25">
      <c r="C68" s="247" t="s">
        <v>354</v>
      </c>
      <c r="D68" s="248">
        <f>D66+D67</f>
        <v>86373.610665671338</v>
      </c>
      <c r="F68" s="29" t="s">
        <v>356</v>
      </c>
      <c r="G68" s="1"/>
      <c r="H68" s="1"/>
      <c r="I68" s="199">
        <f>I65-I67</f>
        <v>1.997980038022814E-3</v>
      </c>
    </row>
    <row r="69" spans="2:10" x14ac:dyDescent="0.25">
      <c r="C69" s="29"/>
      <c r="D69" s="30"/>
      <c r="F69" s="29" t="s">
        <v>347</v>
      </c>
      <c r="G69" s="1"/>
      <c r="H69" s="1"/>
      <c r="I69" s="70">
        <v>0</v>
      </c>
    </row>
    <row r="70" spans="2:10" x14ac:dyDescent="0.25">
      <c r="C70" s="190" t="s">
        <v>358</v>
      </c>
      <c r="D70" s="191">
        <f>D66/D68</f>
        <v>0.93082798887588081</v>
      </c>
      <c r="F70" s="29" t="s">
        <v>360</v>
      </c>
      <c r="G70" s="1"/>
      <c r="H70" s="1"/>
      <c r="I70" s="70">
        <v>0</v>
      </c>
    </row>
    <row r="71" spans="2:10" x14ac:dyDescent="0.25">
      <c r="C71" s="190" t="s">
        <v>361</v>
      </c>
      <c r="D71" s="191">
        <f>D67/D68</f>
        <v>6.9172011124119179E-2</v>
      </c>
      <c r="F71" s="29"/>
      <c r="G71" s="1"/>
      <c r="H71" s="1"/>
      <c r="I71" s="36"/>
    </row>
    <row r="72" spans="2:10" x14ac:dyDescent="0.25">
      <c r="C72" s="106" t="s">
        <v>363</v>
      </c>
      <c r="D72" s="193">
        <f>(H5-I45/D65)/(1+I45/D65)</f>
        <v>6.5006418773752073E-2</v>
      </c>
      <c r="F72" s="249" t="s">
        <v>364</v>
      </c>
      <c r="G72" s="250"/>
      <c r="H72" s="250"/>
      <c r="I72" s="251">
        <f>SUM(I63,I64,I68)</f>
        <v>258.08771098003803</v>
      </c>
    </row>
    <row r="75" spans="2:10" x14ac:dyDescent="0.25">
      <c r="B75" t="s">
        <v>72</v>
      </c>
      <c r="C75" s="233" t="s">
        <v>368</v>
      </c>
      <c r="D75" s="234"/>
      <c r="E75" s="234"/>
      <c r="F75" s="235"/>
    </row>
    <row r="76" spans="2:10" x14ac:dyDescent="0.25">
      <c r="C76" s="238"/>
      <c r="D76" s="80"/>
      <c r="E76" s="80"/>
      <c r="F76" s="71"/>
    </row>
    <row r="77" spans="2:10" x14ac:dyDescent="0.25">
      <c r="C77" s="29"/>
      <c r="D77" s="209" t="s">
        <v>373</v>
      </c>
      <c r="E77" s="96" t="s">
        <v>369</v>
      </c>
      <c r="F77" s="239" t="s">
        <v>23</v>
      </c>
    </row>
    <row r="78" spans="2:10" x14ac:dyDescent="0.25">
      <c r="C78" s="29" t="s">
        <v>175</v>
      </c>
      <c r="D78" s="240"/>
      <c r="E78" s="241">
        <f>D56</f>
        <v>34519.24858199303</v>
      </c>
      <c r="F78" s="242">
        <f>D68</f>
        <v>86373.610665671338</v>
      </c>
    </row>
    <row r="79" spans="2:10" x14ac:dyDescent="0.25">
      <c r="C79" s="29" t="s">
        <v>370</v>
      </c>
      <c r="D79" s="240"/>
      <c r="E79" s="241">
        <f>$I$60</f>
        <v>-364</v>
      </c>
      <c r="F79" s="242">
        <f>$I$60</f>
        <v>-364</v>
      </c>
    </row>
    <row r="80" spans="2:10" x14ac:dyDescent="0.25">
      <c r="C80" s="29" t="s">
        <v>179</v>
      </c>
      <c r="D80" s="243">
        <f>LBO!D31</f>
        <v>54198.419305807984</v>
      </c>
      <c r="E80" s="205">
        <f>SUM(E78:E79)</f>
        <v>34155.24858199303</v>
      </c>
      <c r="F80" s="36">
        <f>SUM(F78:F79)</f>
        <v>86009.610665671338</v>
      </c>
    </row>
    <row r="81" spans="3:7" x14ac:dyDescent="0.25">
      <c r="C81" s="29" t="s">
        <v>371</v>
      </c>
      <c r="D81" s="240">
        <f>$I$72</f>
        <v>258.08771098003803</v>
      </c>
      <c r="E81" s="240">
        <f t="shared" ref="E81:F81" si="8">$I$72</f>
        <v>258.08771098003803</v>
      </c>
      <c r="F81" s="73">
        <f t="shared" si="8"/>
        <v>258.08771098003803</v>
      </c>
    </row>
    <row r="82" spans="3:7" x14ac:dyDescent="0.25">
      <c r="C82" s="236" t="s">
        <v>372</v>
      </c>
      <c r="D82" s="237">
        <f>D80/D81</f>
        <v>210</v>
      </c>
      <c r="E82" s="237">
        <f t="shared" ref="E82:F82" si="9">E80/E81</f>
        <v>132.33969355726043</v>
      </c>
      <c r="F82" s="244">
        <f t="shared" si="9"/>
        <v>333.25728814853881</v>
      </c>
      <c r="G82" s="198"/>
    </row>
    <row r="83" spans="3:7" x14ac:dyDescent="0.25">
      <c r="C83" s="84" t="s">
        <v>374</v>
      </c>
      <c r="D83" s="4"/>
      <c r="E83" s="245">
        <f>E82/D82-1</f>
        <v>-0.36981098306066462</v>
      </c>
      <c r="F83" s="246">
        <f>F82/D82-1</f>
        <v>0.58693946737399427</v>
      </c>
    </row>
  </sheetData>
  <dataValidations count="1">
    <dataValidation type="list" allowBlank="1" showInputMessage="1" showErrorMessage="1" sqref="H6" xr:uid="{43FF10BC-D743-42EF-9CC6-8DAB4D5C0209}">
      <formula1>"0,1"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LBO</vt:lpstr>
      <vt:lpstr>Financials</vt:lpstr>
      <vt:lpstr>Pro Forma</vt:lpstr>
      <vt:lpstr>WACC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Yan</dc:creator>
  <cp:lastModifiedBy>Felix Yan</cp:lastModifiedBy>
  <dcterms:created xsi:type="dcterms:W3CDTF">2026-04-07T20:26:11Z</dcterms:created>
  <dcterms:modified xsi:type="dcterms:W3CDTF">2026-04-18T01:14:36Z</dcterms:modified>
</cp:coreProperties>
</file>